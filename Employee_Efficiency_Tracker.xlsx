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E:\CU\3rd SEM\Project\Business Analytics\"/>
    </mc:Choice>
  </mc:AlternateContent>
  <xr:revisionPtr revIDLastSave="0" documentId="13_ncr:1_{09A15B33-676A-4D35-92EF-ECB733DDDC7B}" xr6:coauthVersionLast="47" xr6:coauthVersionMax="47" xr10:uidLastSave="{00000000-0000-0000-0000-000000000000}"/>
  <bookViews>
    <workbookView xWindow="-120" yWindow="-120" windowWidth="20730" windowHeight="11040" xr2:uid="{EFE66F72-C086-4560-9862-53AC05740695}"/>
  </bookViews>
  <sheets>
    <sheet name="Dashboard" sheetId="2" r:id="rId1"/>
    <sheet name="Dataset" sheetId="1" r:id="rId2"/>
  </sheets>
  <definedNames>
    <definedName name="Slicer_Employee_Name">#N/A</definedName>
    <definedName name="Slicer_Productivity_Status">#N/A</definedName>
  </definedNames>
  <calcPr calcId="191029"/>
  <pivotCaches>
    <pivotCache cacheId="13"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2" i="1"/>
</calcChain>
</file>

<file path=xl/sharedStrings.xml><?xml version="1.0" encoding="utf-8"?>
<sst xmlns="http://schemas.openxmlformats.org/spreadsheetml/2006/main" count="423" uniqueCount="158">
  <si>
    <t>Date</t>
  </si>
  <si>
    <t>Employee ID</t>
  </si>
  <si>
    <t>Employee Name</t>
  </si>
  <si>
    <t>Department</t>
  </si>
  <si>
    <t>Task</t>
  </si>
  <si>
    <t>Hourly Rate (INR)</t>
  </si>
  <si>
    <t>Units Completed</t>
  </si>
  <si>
    <t>Target Time (Hrs)</t>
  </si>
  <si>
    <t>Actual Time (Hrs)</t>
  </si>
  <si>
    <t>Time Variance (Hrs)</t>
  </si>
  <si>
    <t>Efficiency %</t>
  </si>
  <si>
    <t>Units per Hour</t>
  </si>
  <si>
    <t>Productivity Status</t>
  </si>
  <si>
    <t>Total Task Cost (INR)</t>
  </si>
  <si>
    <t>Cost Variance (INR)</t>
  </si>
  <si>
    <t>EMP001</t>
  </si>
  <si>
    <t>Aarav Patel</t>
  </si>
  <si>
    <t>BPO</t>
  </si>
  <si>
    <t>Inbound Call</t>
  </si>
  <si>
    <t>EMP002</t>
  </si>
  <si>
    <t>Rohan Gupta</t>
  </si>
  <si>
    <t>Sales</t>
  </si>
  <si>
    <t>Client Follow-up</t>
  </si>
  <si>
    <t>EMP003</t>
  </si>
  <si>
    <t>Anika Singh</t>
  </si>
  <si>
    <t>HR</t>
  </si>
  <si>
    <t>Onboarding</t>
  </si>
  <si>
    <t>EMP004</t>
  </si>
  <si>
    <t>Vikram Reddy</t>
  </si>
  <si>
    <t>IT Services</t>
  </si>
  <si>
    <t>Ticket Resolution</t>
  </si>
  <si>
    <t>EMP005</t>
  </si>
  <si>
    <t>Meera Krishnan</t>
  </si>
  <si>
    <t>Data Entry</t>
  </si>
  <si>
    <t>EMP006</t>
  </si>
  <si>
    <t>Arjun Kumar</t>
  </si>
  <si>
    <t>Demo Call</t>
  </si>
  <si>
    <t>EMP007</t>
  </si>
  <si>
    <t>Sana Khan</t>
  </si>
  <si>
    <t>Payroll</t>
  </si>
  <si>
    <t>EMP008</t>
  </si>
  <si>
    <t>Dhruv Mehra</t>
  </si>
  <si>
    <t>Bug Fix</t>
  </si>
  <si>
    <t>EMP009</t>
  </si>
  <si>
    <t>Ishaan Jain</t>
  </si>
  <si>
    <t>Verification</t>
  </si>
  <si>
    <t>EMP010</t>
  </si>
  <si>
    <t>Kavya Nair</t>
  </si>
  <si>
    <t>Lead Generation</t>
  </si>
  <si>
    <t>EMP011</t>
  </si>
  <si>
    <t>Riya Verma</t>
  </si>
  <si>
    <t>Recruitment</t>
  </si>
  <si>
    <t>EMP012</t>
  </si>
  <si>
    <t>Sidharth Basu</t>
  </si>
  <si>
    <t>Code Development</t>
  </si>
  <si>
    <t>EMP013</t>
  </si>
  <si>
    <t>Tara Iyer</t>
  </si>
  <si>
    <t>EMP014</t>
  </si>
  <si>
    <t>Zain Ali</t>
  </si>
  <si>
    <t>EMP015</t>
  </si>
  <si>
    <t>Aditi Rao</t>
  </si>
  <si>
    <t>EMP016</t>
  </si>
  <si>
    <t>Kabir Bedi</t>
  </si>
  <si>
    <t>EMP017</t>
  </si>
  <si>
    <t>Diya Mirza</t>
  </si>
  <si>
    <t>EMP018</t>
  </si>
  <si>
    <t>Rehan Khan</t>
  </si>
  <si>
    <t>EMP019</t>
  </si>
  <si>
    <t>Nisha Desai</t>
  </si>
  <si>
    <t>EMP020</t>
  </si>
  <si>
    <t>Priya Sharma</t>
  </si>
  <si>
    <t>EMP021</t>
  </si>
  <si>
    <t>EMP022</t>
  </si>
  <si>
    <t>EMP023</t>
  </si>
  <si>
    <t>EMP024</t>
  </si>
  <si>
    <t>EMP025</t>
  </si>
  <si>
    <t>EMP026</t>
  </si>
  <si>
    <t>EMP027</t>
  </si>
  <si>
    <t>EMP028</t>
  </si>
  <si>
    <t>EMP029</t>
  </si>
  <si>
    <t>EMP030</t>
  </si>
  <si>
    <t>EMP031</t>
  </si>
  <si>
    <t>EMP032</t>
  </si>
  <si>
    <t>EMP033</t>
  </si>
  <si>
    <t>EMP034</t>
  </si>
  <si>
    <t>EMP035</t>
  </si>
  <si>
    <t>EMP036</t>
  </si>
  <si>
    <t>EMP037</t>
  </si>
  <si>
    <t>EMP038</t>
  </si>
  <si>
    <t>EMP039</t>
  </si>
  <si>
    <t>EMP040</t>
  </si>
  <si>
    <t>EMP041</t>
  </si>
  <si>
    <t>EMP042</t>
  </si>
  <si>
    <t>Example</t>
  </si>
  <si>
    <t>EMP043</t>
  </si>
  <si>
    <t>EMP044</t>
  </si>
  <si>
    <t>EMP045</t>
  </si>
  <si>
    <t>EMP046</t>
  </si>
  <si>
    <t>EMP047</t>
  </si>
  <si>
    <t>EMP048</t>
  </si>
  <si>
    <t>EMP049</t>
  </si>
  <si>
    <t>EMP050</t>
  </si>
  <si>
    <t>EMP051</t>
  </si>
  <si>
    <t>EMP052</t>
  </si>
  <si>
    <t>EMP053</t>
  </si>
  <si>
    <t>EMP054</t>
  </si>
  <si>
    <t>EMP055</t>
  </si>
  <si>
    <t>EMP056</t>
  </si>
  <si>
    <t>EMP057</t>
  </si>
  <si>
    <t>EMP058</t>
  </si>
  <si>
    <t>EMP059</t>
  </si>
  <si>
    <t>EMP060</t>
  </si>
  <si>
    <t>EMP061</t>
  </si>
  <si>
    <t>EMP062</t>
  </si>
  <si>
    <t>EMP063</t>
  </si>
  <si>
    <t>EMP064</t>
  </si>
  <si>
    <t>EMP065</t>
  </si>
  <si>
    <t>EMP066</t>
  </si>
  <si>
    <t>EMP067</t>
  </si>
  <si>
    <t>EMP068</t>
  </si>
  <si>
    <t>EMP069</t>
  </si>
  <si>
    <t>EMP070</t>
  </si>
  <si>
    <t>EMP071</t>
  </si>
  <si>
    <t>EMP072</t>
  </si>
  <si>
    <t>EMP073</t>
  </si>
  <si>
    <t>EMP074</t>
  </si>
  <si>
    <t>EMP075</t>
  </si>
  <si>
    <t>EMP076</t>
  </si>
  <si>
    <t>EMP077</t>
  </si>
  <si>
    <t>EMP078</t>
  </si>
  <si>
    <t>EMP079</t>
  </si>
  <si>
    <t>EMP080</t>
  </si>
  <si>
    <t>EMP081</t>
  </si>
  <si>
    <t>EMP082</t>
  </si>
  <si>
    <t>EMP083</t>
  </si>
  <si>
    <t>EMP084</t>
  </si>
  <si>
    <t>EMP085</t>
  </si>
  <si>
    <t>EMP086</t>
  </si>
  <si>
    <t>EMP087</t>
  </si>
  <si>
    <t>Storage</t>
  </si>
  <si>
    <t>EMP088</t>
  </si>
  <si>
    <t>EMP089</t>
  </si>
  <si>
    <t>EMP090</t>
  </si>
  <si>
    <t>EMP091</t>
  </si>
  <si>
    <t>EMP092</t>
  </si>
  <si>
    <t>Examples</t>
  </si>
  <si>
    <t>EMP093</t>
  </si>
  <si>
    <t>EMP094</t>
  </si>
  <si>
    <t>EMP095</t>
  </si>
  <si>
    <t>EMP096</t>
  </si>
  <si>
    <t>EMP097</t>
  </si>
  <si>
    <t>Signature</t>
  </si>
  <si>
    <t>EMP098</t>
  </si>
  <si>
    <t>EMP099</t>
  </si>
  <si>
    <t>EMP100</t>
  </si>
  <si>
    <t>Row Labels</t>
  </si>
  <si>
    <t>Grand Total</t>
  </si>
  <si>
    <t>Average of Efficiency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</si>
</sst>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Mangal"/>
      <family val="2"/>
      <scheme val="minor"/>
    </font>
    <font>
      <sz val="11"/>
      <color theme="1"/>
      <name val="Arial"/>
      <family val="2"/>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1">
    <xf numFmtId="0" fontId="0" fillId="0" borderId="0"/>
  </cellStyleXfs>
  <cellXfs count="12">
    <xf numFmtId="0" fontId="0" fillId="0" borderId="0" xfId="0"/>
    <xf numFmtId="9" fontId="0" fillId="0" borderId="0" xfId="0" applyNumberFormat="1"/>
    <xf numFmtId="0" fontId="0" fillId="0" borderId="0" xfId="0" applyAlignment="1">
      <alignment horizontal="center"/>
    </xf>
    <xf numFmtId="1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9" fontId="1" fillId="0" borderId="1" xfId="0" applyNumberFormat="1" applyFont="1" applyBorder="1" applyAlignment="1">
      <alignment horizontal="center" vertical="center" wrapText="1"/>
    </xf>
    <xf numFmtId="14" fontId="1" fillId="0" borderId="2" xfId="0" applyNumberFormat="1" applyFont="1" applyBorder="1" applyAlignment="1">
      <alignment horizontal="center" vertical="center" wrapText="1"/>
    </xf>
    <xf numFmtId="0" fontId="1" fillId="0" borderId="2" xfId="0" applyFont="1" applyBorder="1" applyAlignment="1">
      <alignment horizontal="center" vertical="center" wrapText="1"/>
    </xf>
    <xf numFmtId="2" fontId="0" fillId="0" borderId="0" xfId="0" applyNumberFormat="1" applyAlignment="1">
      <alignment horizontal="center"/>
    </xf>
    <xf numFmtId="2" fontId="1" fillId="0" borderId="1" xfId="0" applyNumberFormat="1" applyFont="1" applyBorder="1" applyAlignment="1">
      <alignment horizontal="center" vertical="center" wrapText="1"/>
    </xf>
    <xf numFmtId="0" fontId="0" fillId="0" borderId="0" xfId="0" pivotButton="1"/>
    <xf numFmtId="0" fontId="0" fillId="0" borderId="0" xfId="0" applyAlignment="1">
      <alignment horizontal="left"/>
    </xf>
  </cellXfs>
  <cellStyles count="1">
    <cellStyle name="Normal" xfId="0" builtinId="0"/>
  </cellStyles>
  <dxfs count="18">
    <dxf>
      <font>
        <b val="0"/>
        <i val="0"/>
        <strike val="0"/>
        <condense val="0"/>
        <extend val="0"/>
        <outline val="0"/>
        <shadow val="0"/>
        <u val="none"/>
        <vertAlign val="baseline"/>
        <sz val="11"/>
        <color theme="1"/>
        <name val="Arial"/>
        <family val="2"/>
        <scheme val="none"/>
      </font>
      <numFmt numFmtId="2" formatCode="0.00"/>
      <alignment horizontal="center"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numFmt numFmtId="13" formatCode="0%"/>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theme="1"/>
        <name val="Arial"/>
        <family val="2"/>
        <scheme val="none"/>
      </font>
      <numFmt numFmtId="19" formatCode="dd/mm/yyyy"/>
      <alignment horizontal="center"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border outline="0">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[Employee_Efficiency_Tracker.xlsx]Dashboard!PivotTable1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87248468941387"/>
          <c:y val="8.2729294254884789E-2"/>
          <c:w val="0.74560892388451439"/>
          <c:h val="0.53774387576552929"/>
        </c:manualLayout>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Dashboard!$A$4:$A$5</c:f>
              <c:strCache>
                <c:ptCount val="1"/>
                <c:pt idx="0">
                  <c:v>HR</c:v>
                </c:pt>
              </c:strCache>
            </c:strRef>
          </c:cat>
          <c:val>
            <c:numRef>
              <c:f>Dashboard!$B$4:$B$5</c:f>
              <c:numCache>
                <c:formatCode>0%</c:formatCode>
                <c:ptCount val="1"/>
                <c:pt idx="0">
                  <c:v>1.1111111111111112</c:v>
                </c:pt>
              </c:numCache>
            </c:numRef>
          </c:val>
          <c:extLst>
            <c:ext xmlns:c16="http://schemas.microsoft.com/office/drawing/2014/chart" uri="{C3380CC4-5D6E-409C-BE32-E72D297353CC}">
              <c16:uniqueId val="{00000000-C0E7-42F8-A96E-33422675CF04}"/>
            </c:ext>
          </c:extLst>
        </c:ser>
        <c:dLbls>
          <c:showLegendKey val="0"/>
          <c:showVal val="0"/>
          <c:showCatName val="0"/>
          <c:showSerName val="0"/>
          <c:showPercent val="0"/>
          <c:showBubbleSize val="0"/>
        </c:dLbls>
        <c:gapWidth val="219"/>
        <c:overlap val="-27"/>
        <c:axId val="1994622639"/>
        <c:axId val="1994620719"/>
      </c:barChart>
      <c:catAx>
        <c:axId val="199462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94620719"/>
        <c:crosses val="autoZero"/>
        <c:auto val="1"/>
        <c:lblAlgn val="ctr"/>
        <c:lblOffset val="100"/>
        <c:noMultiLvlLbl val="0"/>
      </c:catAx>
      <c:valAx>
        <c:axId val="1994620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9462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390525</xdr:colOff>
      <xdr:row>1</xdr:row>
      <xdr:rowOff>138112</xdr:rowOff>
    </xdr:from>
    <xdr:to>
      <xdr:col>8</xdr:col>
      <xdr:colOff>390525</xdr:colOff>
      <xdr:row>9</xdr:row>
      <xdr:rowOff>290512</xdr:rowOff>
    </xdr:to>
    <xdr:graphicFrame macro="">
      <xdr:nvGraphicFramePr>
        <xdr:cNvPr id="2" name="Chart 1">
          <a:extLst>
            <a:ext uri="{FF2B5EF4-FFF2-40B4-BE49-F238E27FC236}">
              <a16:creationId xmlns:a16="http://schemas.microsoft.com/office/drawing/2014/main" id="{82F5D51A-AE85-1CB0-9F9E-3C7507A8C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628650</xdr:colOff>
      <xdr:row>0</xdr:row>
      <xdr:rowOff>219075</xdr:rowOff>
    </xdr:from>
    <xdr:to>
      <xdr:col>14</xdr:col>
      <xdr:colOff>171450</xdr:colOff>
      <xdr:row>11</xdr:row>
      <xdr:rowOff>22225</xdr:rowOff>
    </xdr:to>
    <mc:AlternateContent xmlns:mc="http://schemas.openxmlformats.org/markup-compatibility/2006">
      <mc:Choice xmlns:a14="http://schemas.microsoft.com/office/drawing/2010/main" Requires="a14">
        <xdr:graphicFrame macro="">
          <xdr:nvGraphicFramePr>
            <xdr:cNvPr id="3" name="Employee Name">
              <a:extLst>
                <a:ext uri="{FF2B5EF4-FFF2-40B4-BE49-F238E27FC236}">
                  <a16:creationId xmlns:a16="http://schemas.microsoft.com/office/drawing/2014/main" id="{E171ACA0-5660-0648-859E-AA3DBB4F5BB3}"/>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dr:sp macro="" textlink="">
          <xdr:nvSpPr>
            <xdr:cNvPr id="0" name=""/>
            <xdr:cNvSpPr>
              <a:spLocks noTextEdit="1"/>
            </xdr:cNvSpPr>
          </xdr:nvSpPr>
          <xdr:spPr>
            <a:xfrm>
              <a:off x="10439400" y="219075"/>
              <a:ext cx="1828800" cy="336550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0</xdr:row>
      <xdr:rowOff>228600</xdr:rowOff>
    </xdr:from>
    <xdr:to>
      <xdr:col>11</xdr:col>
      <xdr:colOff>419100</xdr:colOff>
      <xdr:row>11</xdr:row>
      <xdr:rowOff>31750</xdr:rowOff>
    </xdr:to>
    <mc:AlternateContent xmlns:mc="http://schemas.openxmlformats.org/markup-compatibility/2006">
      <mc:Choice xmlns:a14="http://schemas.microsoft.com/office/drawing/2010/main" Requires="a14">
        <xdr:graphicFrame macro="">
          <xdr:nvGraphicFramePr>
            <xdr:cNvPr id="4" name="Productivity Status">
              <a:extLst>
                <a:ext uri="{FF2B5EF4-FFF2-40B4-BE49-F238E27FC236}">
                  <a16:creationId xmlns:a16="http://schemas.microsoft.com/office/drawing/2014/main" id="{BD873952-BD50-A9FB-77DA-2EDE259215B3}"/>
                </a:ext>
              </a:extLst>
            </xdr:cNvPr>
            <xdr:cNvGraphicFramePr/>
          </xdr:nvGraphicFramePr>
          <xdr:xfrm>
            <a:off x="0" y="0"/>
            <a:ext cx="0" cy="0"/>
          </xdr:xfrm>
          <a:graphic>
            <a:graphicData uri="http://schemas.microsoft.com/office/drawing/2010/slicer">
              <sle:slicer xmlns:sle="http://schemas.microsoft.com/office/drawing/2010/slicer" name="Productivity Status"/>
            </a:graphicData>
          </a:graphic>
        </xdr:graphicFrame>
      </mc:Choice>
      <mc:Fallback>
        <xdr:sp macro="" textlink="">
          <xdr:nvSpPr>
            <xdr:cNvPr id="0" name=""/>
            <xdr:cNvSpPr>
              <a:spLocks noTextEdit="1"/>
            </xdr:cNvSpPr>
          </xdr:nvSpPr>
          <xdr:spPr>
            <a:xfrm>
              <a:off x="8401050" y="228600"/>
              <a:ext cx="1828800" cy="336550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Mishra" refreshedDate="45969.92152048611" createdVersion="8" refreshedVersion="8" minRefreshableVersion="3" recordCount="104" xr:uid="{4C2F5B9C-81C6-40B0-BA73-DC2FBE89BC99}">
  <cacheSource type="worksheet">
    <worksheetSource name="Table1"/>
  </cacheSource>
  <cacheFields count="15">
    <cacheField name="Date" numFmtId="0">
      <sharedItems containsDate="1" containsMixedTypes="1" minDate="2025-10-01T00:00:00" maxDate="2025-11-01T00:00:00"/>
    </cacheField>
    <cacheField name="Employee ID" numFmtId="0">
      <sharedItems containsBlank="1"/>
    </cacheField>
    <cacheField name="Employee Name" numFmtId="0">
      <sharedItems containsBlank="1" count="21">
        <s v="Aarav Patel"/>
        <s v="Rohan Gupta"/>
        <s v="Anika Singh"/>
        <s v="Vikram Reddy"/>
        <s v="Meera Krishnan"/>
        <s v="Arjun Kumar"/>
        <s v="Sana Khan"/>
        <s v="Dhruv Mehra"/>
        <s v="Ishaan Jain"/>
        <s v="Kavya Nair"/>
        <s v="Riya Verma"/>
        <s v="Sidharth Basu"/>
        <s v="Tara Iyer"/>
        <s v="Zain Ali"/>
        <s v="Aditi Rao"/>
        <s v="Kabir Bedi"/>
        <s v="Diya Mirza"/>
        <s v="Rehan Khan"/>
        <s v="Nisha Desai"/>
        <s v="Priya Sharma"/>
        <m/>
      </sharedItems>
    </cacheField>
    <cacheField name="Department" numFmtId="0">
      <sharedItems containsBlank="1" count="5">
        <s v="BPO"/>
        <s v="Sales"/>
        <s v="HR"/>
        <s v="IT Services"/>
        <m/>
      </sharedItems>
    </cacheField>
    <cacheField name="Task" numFmtId="0">
      <sharedItems containsBlank="1"/>
    </cacheField>
    <cacheField name="Hourly Rate (INR)" numFmtId="0">
      <sharedItems containsString="0" containsBlank="1" containsNumber="1" containsInteger="1" minValue="350" maxValue="600"/>
    </cacheField>
    <cacheField name="Units Completed" numFmtId="0">
      <sharedItems containsString="0" containsBlank="1" containsNumber="1" containsInteger="1" minValue="10" maxValue="49"/>
    </cacheField>
    <cacheField name="Target Time (Hrs)" numFmtId="0">
      <sharedItems containsString="0" containsBlank="1" containsNumber="1" containsInteger="1" minValue="5" maxValue="8"/>
    </cacheField>
    <cacheField name="Actual Time (Hrs)" numFmtId="0">
      <sharedItems containsString="0" containsBlank="1" containsNumber="1" minValue="4.5" maxValue="10"/>
    </cacheField>
    <cacheField name="Time Variance (Hrs)" numFmtId="0">
      <sharedItems containsSemiMixedTypes="0" containsString="0" containsNumber="1" minValue="-2" maxValue="0.90000000000000036"/>
    </cacheField>
    <cacheField name="Efficiency %" numFmtId="9">
      <sharedItems containsSemiMixedTypes="0" containsString="0" containsNumber="1" minValue="0" maxValue="1.1320754716981132" count="88">
        <n v="1.1320754716981132"/>
        <n v="1.129032258064516"/>
        <n v="1.1267605633802817"/>
        <n v="1.1111111111111112"/>
        <n v="1.1111111111111109"/>
        <n v="1.0869565217391306"/>
        <n v="1.0909090909090908"/>
        <n v="1.09375"/>
        <n v="1.0810810810810809"/>
        <n v="1.0638297872340425"/>
        <n v="1.0526315789473684"/>
        <n v="1.044776119402985"/>
        <n v="1.0389610389610389"/>
        <n v="1.0416666666666667"/>
        <n v="1.0344827586206897"/>
        <n v="1.0294117647058825"/>
        <n v="1.0256410256410258"/>
        <n v="1.0204081632653061"/>
        <n v="1.0169491525423728"/>
        <n v="1.0144927536231882"/>
        <n v="1.0126582278481011"/>
        <n v="1"/>
        <n v="0.98039215686274517"/>
        <n v="0.98360655737704927"/>
        <n v="0.9859154929577465"/>
        <n v="0.98765432098765438"/>
        <n v="0.96153846153846145"/>
        <n v="0.96774193548387089"/>
        <n v="0.97222222222222221"/>
        <n v="0.97560975609756106"/>
        <n v="0.94339622641509435"/>
        <n v="0.95238095238095244"/>
        <n v="0.95890410958904115"/>
        <n v="0.96385542168674687"/>
        <n v="0.92592592592592582"/>
        <n v="0.9375"/>
        <n v="0.94594594594594594"/>
        <n v="0"/>
        <n v="0.95238095238095233"/>
        <n v="0.90909090909090906"/>
        <n v="0.92307692307692313"/>
        <n v="0.92105263157894746"/>
        <n v="0.93023255813953487"/>
        <n v="0.8771929824561403"/>
        <n v="0.89552238805970152"/>
        <n v="0.91954022988505757"/>
        <n v="0.86206896551724144"/>
        <n v="0.88235294117647056"/>
        <n v="0.89743589743589747"/>
        <n v="0.84745762711864403"/>
        <n v="0.86956521739130432"/>
        <n v="0.88607594936708856"/>
        <n v="0.898876404494382"/>
        <n v="0.83333333333333337"/>
        <n v="0.8571428571428571"/>
        <n v="0.875"/>
        <n v="0.88888888888888884"/>
        <n v="0.81967213114754101"/>
        <n v="0.84507042253521136"/>
        <n v="0.86419753086419759"/>
        <n v="0.87912087912087911"/>
        <n v="0.80645161290322576"/>
        <n v="0.83333333333333326"/>
        <n v="0.85365853658536595"/>
        <n v="0.86956521739130443"/>
        <n v="0.79365079365079372"/>
        <n v="0.82191780821917815"/>
        <n v="0.85106382978723405"/>
        <n v="0.78125"/>
        <n v="0.81081081081081074"/>
        <n v="0.82352941176470584"/>
        <n v="0.84210526315789469"/>
        <n v="0.76923076923076927"/>
        <n v="0.8"/>
        <n v="0.81395348837209303"/>
        <n v="0.75757575757575757"/>
        <n v="0.78947368421052633"/>
        <n v="0.8045977011494253"/>
        <n v="0.81632653061224481"/>
        <n v="0.73529411764705888"/>
        <n v="0.79545454545454541"/>
        <n v="0.80808080808080807"/>
        <n v="0.72463768115942029"/>
        <n v="0.75949367088607589"/>
        <n v="0.78651685393258419"/>
        <n v="0.7142857142857143"/>
        <n v="0.75"/>
        <n v="0.77777777777777779"/>
      </sharedItems>
    </cacheField>
    <cacheField name="Units per Hour" numFmtId="2">
      <sharedItems containsSemiMixedTypes="0" containsString="0" containsNumber="1" minValue="0" maxValue="8.6792452830188687"/>
    </cacheField>
    <cacheField name="Productivity Status" numFmtId="0">
      <sharedItems count="3">
        <s v="Exceeds"/>
        <s v="Meets"/>
        <s v="Needs Improvement"/>
      </sharedItems>
    </cacheField>
    <cacheField name="Total Task Cost (INR)" numFmtId="0">
      <sharedItems containsSemiMixedTypes="0" containsString="0" containsNumber="1" minValue="0" maxValue="4950"/>
    </cacheField>
    <cacheField name="Cost Variance (INR)" numFmtId="0">
      <sharedItems containsSemiMixedTypes="0" containsString="0" containsNumber="1" minValue="-1200" maxValue="440"/>
    </cacheField>
  </cacheFields>
  <extLst>
    <ext xmlns:x14="http://schemas.microsoft.com/office/spreadsheetml/2009/9/main" uri="{725AE2AE-9491-48be-B2B4-4EB974FC3084}">
      <x14:pivotCacheDefinition pivotCacheId="2937460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d v="2025-10-30T00:00:00"/>
    <s v="EMP001"/>
    <x v="0"/>
    <x v="0"/>
    <s v="Inbound Call"/>
    <n v="350"/>
    <n v="11"/>
    <n v="6"/>
    <n v="5.3"/>
    <n v="0.70000000000000018"/>
    <x v="0"/>
    <n v="2.0754716981132075"/>
    <x v="0"/>
    <n v="1855"/>
    <n v="245"/>
  </r>
  <r>
    <d v="2025-10-29T00:00:00"/>
    <s v="EMP002"/>
    <x v="1"/>
    <x v="1"/>
    <s v="Client Follow-up"/>
    <n v="550"/>
    <n v="12"/>
    <n v="7"/>
    <n v="6.2"/>
    <n v="0.79999999999999982"/>
    <x v="1"/>
    <n v="1.9354838709677418"/>
    <x v="0"/>
    <n v="3410"/>
    <n v="440"/>
  </r>
  <r>
    <d v="2025-10-28T00:00:00"/>
    <s v="EMP003"/>
    <x v="2"/>
    <x v="2"/>
    <s v="Onboarding"/>
    <n v="450"/>
    <n v="13"/>
    <n v="8"/>
    <n v="7.1"/>
    <n v="0.90000000000000036"/>
    <x v="2"/>
    <n v="1.8309859154929577"/>
    <x v="0"/>
    <n v="3195"/>
    <n v="405"/>
  </r>
  <r>
    <d v="2025-10-27T00:00:00"/>
    <s v="EMP004"/>
    <x v="3"/>
    <x v="3"/>
    <s v="Ticket Resolution"/>
    <n v="600"/>
    <n v="14"/>
    <n v="5"/>
    <n v="4.5"/>
    <n v="0.5"/>
    <x v="3"/>
    <n v="3.1111111111111112"/>
    <x v="0"/>
    <n v="2700"/>
    <n v="300"/>
  </r>
  <r>
    <d v="2025-10-26T00:00:00"/>
    <s v="EMP005"/>
    <x v="4"/>
    <x v="0"/>
    <s v="Data Entry"/>
    <n v="350"/>
    <n v="15"/>
    <n v="6"/>
    <n v="5.4"/>
    <n v="0.59999999999999964"/>
    <x v="4"/>
    <n v="2.7777777777777777"/>
    <x v="0"/>
    <n v="1890.0000000000002"/>
    <n v="209.99999999999977"/>
  </r>
  <r>
    <d v="2025-10-25T00:00:00"/>
    <s v="EMP006"/>
    <x v="5"/>
    <x v="1"/>
    <s v="Demo Call"/>
    <n v="550"/>
    <n v="16"/>
    <n v="7"/>
    <n v="6.3"/>
    <n v="0.70000000000000018"/>
    <x v="3"/>
    <n v="2.5396825396825395"/>
    <x v="0"/>
    <n v="3465"/>
    <n v="385"/>
  </r>
  <r>
    <d v="2025-10-24T00:00:00"/>
    <s v="EMP007"/>
    <x v="6"/>
    <x v="2"/>
    <s v="Payroll"/>
    <n v="450"/>
    <n v="17"/>
    <n v="8"/>
    <n v="7.2"/>
    <n v="0.79999999999999982"/>
    <x v="3"/>
    <n v="2.3611111111111112"/>
    <x v="0"/>
    <n v="3240"/>
    <n v="360"/>
  </r>
  <r>
    <d v="2025-10-23T00:00:00"/>
    <s v="EMP008"/>
    <x v="7"/>
    <x v="3"/>
    <s v="Bug Fix"/>
    <n v="600"/>
    <n v="18"/>
    <n v="5"/>
    <n v="4.5999999999999996"/>
    <n v="0.40000000000000036"/>
    <x v="5"/>
    <n v="3.9130434782608701"/>
    <x v="1"/>
    <n v="2760"/>
    <n v="240"/>
  </r>
  <r>
    <d v="2025-10-22T00:00:00"/>
    <s v="EMP009"/>
    <x v="8"/>
    <x v="0"/>
    <s v="Verification"/>
    <n v="350"/>
    <n v="19"/>
    <n v="6"/>
    <n v="5.5"/>
    <n v="0.5"/>
    <x v="6"/>
    <n v="3.4545454545454546"/>
    <x v="1"/>
    <n v="1925"/>
    <n v="175"/>
  </r>
  <r>
    <d v="2025-10-21T00:00:00"/>
    <s v="EMP010"/>
    <x v="9"/>
    <x v="1"/>
    <s v="Lead Generation"/>
    <n v="550"/>
    <n v="20"/>
    <n v="7"/>
    <n v="6.4"/>
    <n v="0.59999999999999964"/>
    <x v="7"/>
    <n v="3.125"/>
    <x v="1"/>
    <n v="3520"/>
    <n v="330"/>
  </r>
  <r>
    <d v="2025-10-20T00:00:00"/>
    <s v="EMP011"/>
    <x v="10"/>
    <x v="2"/>
    <s v="Recruitment"/>
    <n v="450"/>
    <n v="21"/>
    <n v="8"/>
    <n v="7.4"/>
    <n v="0.59999999999999964"/>
    <x v="8"/>
    <n v="2.8378378378378377"/>
    <x v="1"/>
    <n v="3330"/>
    <n v="270"/>
  </r>
  <r>
    <d v="2025-10-19T00:00:00"/>
    <s v="EMP012"/>
    <x v="11"/>
    <x v="3"/>
    <s v="Code Development"/>
    <n v="600"/>
    <n v="22"/>
    <n v="5"/>
    <n v="4.7"/>
    <n v="0.29999999999999982"/>
    <x v="9"/>
    <n v="4.6808510638297873"/>
    <x v="1"/>
    <n v="2820"/>
    <n v="180"/>
  </r>
  <r>
    <d v="2025-10-18T00:00:00"/>
    <s v="EMP013"/>
    <x v="12"/>
    <x v="0"/>
    <s v="Inbound Call"/>
    <n v="350"/>
    <n v="23"/>
    <n v="6"/>
    <n v="5.7"/>
    <n v="0.29999999999999982"/>
    <x v="10"/>
    <n v="4.0350877192982457"/>
    <x v="1"/>
    <n v="1995"/>
    <n v="105"/>
  </r>
  <r>
    <d v="2025-10-17T00:00:00"/>
    <s v="EMP014"/>
    <x v="13"/>
    <x v="1"/>
    <s v="Client Follow-up"/>
    <n v="550"/>
    <n v="24"/>
    <n v="7"/>
    <n v="6.7"/>
    <n v="0.29999999999999982"/>
    <x v="11"/>
    <n v="3.5820895522388061"/>
    <x v="1"/>
    <n v="3685"/>
    <n v="165"/>
  </r>
  <r>
    <d v="2025-10-16T00:00:00"/>
    <s v="EMP015"/>
    <x v="14"/>
    <x v="2"/>
    <s v="Onboarding"/>
    <n v="450"/>
    <n v="25"/>
    <n v="8"/>
    <n v="7.7"/>
    <n v="0.29999999999999982"/>
    <x v="12"/>
    <n v="3.2467532467532467"/>
    <x v="1"/>
    <n v="3465"/>
    <n v="135"/>
  </r>
  <r>
    <d v="2025-10-15T00:00:00"/>
    <s v="EMP016"/>
    <x v="15"/>
    <x v="3"/>
    <s v="Ticket Resolution"/>
    <n v="600"/>
    <n v="26"/>
    <n v="5"/>
    <n v="4.8"/>
    <n v="0.20000000000000018"/>
    <x v="13"/>
    <n v="5.416666666666667"/>
    <x v="1"/>
    <n v="2880"/>
    <n v="120"/>
  </r>
  <r>
    <d v="2025-10-14T00:00:00"/>
    <s v="EMP017"/>
    <x v="16"/>
    <x v="0"/>
    <s v="Data Entry"/>
    <n v="350"/>
    <n v="27"/>
    <n v="6"/>
    <n v="5.8"/>
    <n v="0.20000000000000018"/>
    <x v="14"/>
    <n v="4.6551724137931032"/>
    <x v="1"/>
    <n v="2030"/>
    <n v="70"/>
  </r>
  <r>
    <d v="2025-10-13T00:00:00"/>
    <s v="EMP018"/>
    <x v="17"/>
    <x v="1"/>
    <s v="Demo Call"/>
    <n v="550"/>
    <n v="28"/>
    <n v="7"/>
    <n v="6.8"/>
    <n v="0.20000000000000018"/>
    <x v="15"/>
    <n v="4.1176470588235299"/>
    <x v="1"/>
    <n v="3740"/>
    <n v="110"/>
  </r>
  <r>
    <d v="2025-10-12T00:00:00"/>
    <s v="EMP019"/>
    <x v="18"/>
    <x v="2"/>
    <s v="Payroll"/>
    <n v="450"/>
    <n v="29"/>
    <n v="8"/>
    <n v="7.8"/>
    <n v="0.20000000000000018"/>
    <x v="16"/>
    <n v="3.7179487179487181"/>
    <x v="1"/>
    <n v="3510"/>
    <n v="90"/>
  </r>
  <r>
    <d v="2025-10-11T00:00:00"/>
    <s v="EMP020"/>
    <x v="19"/>
    <x v="3"/>
    <s v="Bug Fix"/>
    <n v="600"/>
    <n v="30"/>
    <n v="5"/>
    <n v="4.9000000000000004"/>
    <n v="9.9999999999999645E-2"/>
    <x v="17"/>
    <n v="6.1224489795918364"/>
    <x v="1"/>
    <n v="2940"/>
    <n v="60"/>
  </r>
  <r>
    <d v="2025-10-10T00:00:00"/>
    <s v="EMP021"/>
    <x v="0"/>
    <x v="0"/>
    <s v="Verification"/>
    <n v="350"/>
    <n v="31"/>
    <n v="6"/>
    <n v="5.9"/>
    <n v="9.9999999999999645E-2"/>
    <x v="18"/>
    <n v="5.2542372881355925"/>
    <x v="1"/>
    <n v="2065"/>
    <n v="35"/>
  </r>
  <r>
    <d v="2025-10-09T00:00:00"/>
    <s v="EMP022"/>
    <x v="1"/>
    <x v="1"/>
    <s v="Lead Generation"/>
    <n v="550"/>
    <n v="32"/>
    <n v="7"/>
    <n v="6.9"/>
    <n v="9.9999999999999645E-2"/>
    <x v="19"/>
    <n v="4.63768115942029"/>
    <x v="1"/>
    <n v="3795"/>
    <n v="55"/>
  </r>
  <r>
    <d v="2025-10-08T00:00:00"/>
    <s v="EMP023"/>
    <x v="2"/>
    <x v="2"/>
    <s v="Recruitment"/>
    <n v="450"/>
    <n v="33"/>
    <n v="8"/>
    <n v="7.9"/>
    <n v="9.9999999999999645E-2"/>
    <x v="20"/>
    <n v="4.1772151898734178"/>
    <x v="1"/>
    <n v="3555"/>
    <n v="45"/>
  </r>
  <r>
    <d v="2025-10-07T00:00:00"/>
    <s v="EMP024"/>
    <x v="3"/>
    <x v="3"/>
    <s v="Code Development"/>
    <n v="600"/>
    <n v="34"/>
    <n v="5"/>
    <n v="5"/>
    <n v="0"/>
    <x v="21"/>
    <n v="6.8"/>
    <x v="1"/>
    <n v="3000"/>
    <n v="0"/>
  </r>
  <r>
    <d v="2025-10-06T00:00:00"/>
    <s v="EMP025"/>
    <x v="4"/>
    <x v="0"/>
    <s v="Inbound Call"/>
    <n v="350"/>
    <n v="35"/>
    <n v="6"/>
    <n v="6"/>
    <n v="0"/>
    <x v="21"/>
    <n v="5.833333333333333"/>
    <x v="1"/>
    <n v="2100"/>
    <n v="0"/>
  </r>
  <r>
    <d v="2025-10-05T00:00:00"/>
    <s v="EMP026"/>
    <x v="5"/>
    <x v="1"/>
    <s v="Client Follow-up"/>
    <n v="550"/>
    <n v="36"/>
    <n v="7"/>
    <n v="7"/>
    <n v="0"/>
    <x v="21"/>
    <n v="5.1428571428571432"/>
    <x v="1"/>
    <n v="3850"/>
    <n v="0"/>
  </r>
  <r>
    <d v="2025-10-04T00:00:00"/>
    <s v="EMP027"/>
    <x v="6"/>
    <x v="2"/>
    <s v="Onboarding"/>
    <n v="450"/>
    <n v="37"/>
    <n v="8"/>
    <n v="8"/>
    <n v="0"/>
    <x v="21"/>
    <n v="4.625"/>
    <x v="1"/>
    <n v="3600"/>
    <n v="0"/>
  </r>
  <r>
    <d v="2025-10-03T00:00:00"/>
    <s v="EMP028"/>
    <x v="7"/>
    <x v="3"/>
    <s v="Ticket Resolution"/>
    <n v="600"/>
    <n v="38"/>
    <n v="5"/>
    <n v="5.0999999999999996"/>
    <n v="-9.9999999999999645E-2"/>
    <x v="22"/>
    <n v="7.4509803921568629"/>
    <x v="1"/>
    <n v="3060"/>
    <n v="-60"/>
  </r>
  <r>
    <d v="2025-10-02T00:00:00"/>
    <s v="EMP029"/>
    <x v="8"/>
    <x v="0"/>
    <s v="Data Entry"/>
    <n v="350"/>
    <n v="39"/>
    <n v="6"/>
    <n v="6.1"/>
    <n v="-9.9999999999999645E-2"/>
    <x v="23"/>
    <n v="6.3934426229508201"/>
    <x v="1"/>
    <n v="2135"/>
    <n v="-35"/>
  </r>
  <r>
    <d v="2025-10-01T00:00:00"/>
    <s v="EMP030"/>
    <x v="9"/>
    <x v="1"/>
    <s v="Demo Call"/>
    <n v="550"/>
    <n v="40"/>
    <n v="7"/>
    <n v="7.1"/>
    <n v="-9.9999999999999645E-2"/>
    <x v="24"/>
    <n v="5.6338028169014089"/>
    <x v="1"/>
    <n v="3905"/>
    <n v="-55"/>
  </r>
  <r>
    <d v="2025-10-31T00:00:00"/>
    <s v="EMP031"/>
    <x v="10"/>
    <x v="2"/>
    <s v="Payroll"/>
    <n v="450"/>
    <n v="41"/>
    <n v="8"/>
    <n v="8.1"/>
    <n v="-9.9999999999999645E-2"/>
    <x v="25"/>
    <n v="5.0617283950617287"/>
    <x v="1"/>
    <n v="3645"/>
    <n v="-45"/>
  </r>
  <r>
    <d v="2025-10-30T00:00:00"/>
    <s v="EMP032"/>
    <x v="11"/>
    <x v="3"/>
    <s v="Bug Fix"/>
    <n v="600"/>
    <n v="42"/>
    <n v="5"/>
    <n v="5.2"/>
    <n v="-0.20000000000000018"/>
    <x v="26"/>
    <n v="8.0769230769230766"/>
    <x v="1"/>
    <n v="3120"/>
    <n v="-120"/>
  </r>
  <r>
    <d v="2025-10-29T00:00:00"/>
    <s v="EMP033"/>
    <x v="12"/>
    <x v="0"/>
    <s v="Verification"/>
    <n v="350"/>
    <n v="43"/>
    <n v="6"/>
    <n v="6.2"/>
    <n v="-0.20000000000000018"/>
    <x v="27"/>
    <n v="6.935483870967742"/>
    <x v="1"/>
    <n v="2170"/>
    <n v="-70"/>
  </r>
  <r>
    <d v="2025-10-28T00:00:00"/>
    <s v="EMP034"/>
    <x v="13"/>
    <x v="1"/>
    <s v="Lead Generation"/>
    <n v="550"/>
    <n v="44"/>
    <n v="7"/>
    <n v="7.2"/>
    <n v="-0.20000000000000018"/>
    <x v="28"/>
    <n v="6.1111111111111107"/>
    <x v="1"/>
    <n v="3960"/>
    <n v="-110"/>
  </r>
  <r>
    <d v="2025-10-27T00:00:00"/>
    <s v="EMP035"/>
    <x v="14"/>
    <x v="2"/>
    <s v="Recruitment"/>
    <n v="450"/>
    <n v="45"/>
    <n v="8"/>
    <n v="8.1999999999999993"/>
    <n v="-0.19999999999999929"/>
    <x v="29"/>
    <n v="5.4878048780487809"/>
    <x v="1"/>
    <n v="3689.9999999999995"/>
    <n v="-89.999999999999545"/>
  </r>
  <r>
    <d v="2025-10-26T00:00:00"/>
    <s v="EMP036"/>
    <x v="15"/>
    <x v="3"/>
    <s v="Code Development"/>
    <n v="600"/>
    <n v="46"/>
    <n v="5"/>
    <n v="5.3"/>
    <n v="-0.29999999999999982"/>
    <x v="30"/>
    <n v="8.6792452830188687"/>
    <x v="1"/>
    <n v="3180"/>
    <n v="-180"/>
  </r>
  <r>
    <d v="2025-10-25T00:00:00"/>
    <s v="EMP037"/>
    <x v="16"/>
    <x v="0"/>
    <s v="Inbound Call"/>
    <n v="350"/>
    <n v="47"/>
    <n v="6"/>
    <n v="6.3"/>
    <n v="-0.29999999999999982"/>
    <x v="31"/>
    <n v="7.4603174603174605"/>
    <x v="1"/>
    <n v="2205"/>
    <n v="-105"/>
  </r>
  <r>
    <d v="2025-10-24T00:00:00"/>
    <s v="EMP038"/>
    <x v="17"/>
    <x v="1"/>
    <s v="Client Follow-up"/>
    <n v="550"/>
    <n v="48"/>
    <n v="7"/>
    <n v="7.3"/>
    <n v="-0.29999999999999982"/>
    <x v="32"/>
    <n v="6.5753424657534252"/>
    <x v="1"/>
    <n v="4015"/>
    <n v="-165"/>
  </r>
  <r>
    <d v="2025-10-23T00:00:00"/>
    <s v="EMP039"/>
    <x v="18"/>
    <x v="2"/>
    <s v="Onboarding"/>
    <n v="450"/>
    <n v="49"/>
    <n v="8"/>
    <n v="8.3000000000000007"/>
    <n v="-0.30000000000000071"/>
    <x v="33"/>
    <n v="5.903614457831325"/>
    <x v="1"/>
    <n v="3735.0000000000005"/>
    <n v="-135.00000000000045"/>
  </r>
  <r>
    <d v="2025-10-22T00:00:00"/>
    <s v="EMP040"/>
    <x v="19"/>
    <x v="3"/>
    <s v="Ticket Resolution"/>
    <n v="600"/>
    <n v="10"/>
    <n v="5"/>
    <n v="5.4"/>
    <n v="-0.40000000000000036"/>
    <x v="34"/>
    <n v="1.8518518518518516"/>
    <x v="1"/>
    <n v="3240"/>
    <n v="-240"/>
  </r>
  <r>
    <d v="2025-10-21T00:00:00"/>
    <s v="EMP041"/>
    <x v="0"/>
    <x v="0"/>
    <s v="Data Entry"/>
    <n v="350"/>
    <n v="11"/>
    <n v="6"/>
    <n v="6.4"/>
    <n v="-0.40000000000000036"/>
    <x v="35"/>
    <n v="1.71875"/>
    <x v="1"/>
    <n v="2240"/>
    <n v="-140"/>
  </r>
  <r>
    <d v="2025-10-20T00:00:00"/>
    <s v="EMP042"/>
    <x v="1"/>
    <x v="1"/>
    <s v="Demo Call"/>
    <n v="550"/>
    <n v="12"/>
    <n v="7"/>
    <n v="7.4"/>
    <n v="-0.40000000000000036"/>
    <x v="36"/>
    <n v="1.6216216216216215"/>
    <x v="1"/>
    <n v="4070"/>
    <n v="-220"/>
  </r>
  <r>
    <s v="Example"/>
    <m/>
    <x v="20"/>
    <x v="4"/>
    <m/>
    <m/>
    <m/>
    <m/>
    <m/>
    <n v="0"/>
    <x v="37"/>
    <n v="0"/>
    <x v="2"/>
    <n v="0"/>
    <n v="0"/>
  </r>
  <r>
    <d v="2025-10-19T00:00:00"/>
    <s v="EMP043"/>
    <x v="2"/>
    <x v="2"/>
    <s v="Payroll"/>
    <n v="450"/>
    <n v="13"/>
    <n v="8"/>
    <n v="8.4"/>
    <n v="-0.40000000000000036"/>
    <x v="38"/>
    <n v="1.5476190476190474"/>
    <x v="1"/>
    <n v="3780"/>
    <n v="-180"/>
  </r>
  <r>
    <d v="2025-10-18T00:00:00"/>
    <s v="EMP044"/>
    <x v="3"/>
    <x v="3"/>
    <s v="Bug Fix"/>
    <n v="600"/>
    <n v="14"/>
    <n v="5"/>
    <n v="5.5"/>
    <n v="-0.5"/>
    <x v="39"/>
    <n v="2.5454545454545454"/>
    <x v="1"/>
    <n v="3300"/>
    <n v="-300"/>
  </r>
  <r>
    <d v="2025-10-17T00:00:00"/>
    <s v="EMP045"/>
    <x v="4"/>
    <x v="0"/>
    <s v="Verification"/>
    <n v="350"/>
    <n v="15"/>
    <n v="6"/>
    <n v="6.5"/>
    <n v="-0.5"/>
    <x v="40"/>
    <n v="2.3076923076923075"/>
    <x v="1"/>
    <n v="2275"/>
    <n v="-175"/>
  </r>
  <r>
    <d v="2025-10-16T00:00:00"/>
    <s v="EMP046"/>
    <x v="5"/>
    <x v="1"/>
    <s v="Lead Generation"/>
    <n v="550"/>
    <n v="16"/>
    <n v="7"/>
    <n v="7.6"/>
    <n v="-0.59999999999999964"/>
    <x v="41"/>
    <n v="2.1052631578947367"/>
    <x v="1"/>
    <n v="4180"/>
    <n v="-330"/>
  </r>
  <r>
    <d v="2025-10-15T00:00:00"/>
    <s v="EMP047"/>
    <x v="6"/>
    <x v="2"/>
    <s v="Recruitment"/>
    <n v="450"/>
    <n v="17"/>
    <n v="8"/>
    <n v="8.6"/>
    <n v="-0.59999999999999964"/>
    <x v="42"/>
    <n v="1.9767441860465118"/>
    <x v="1"/>
    <n v="3870"/>
    <n v="-270"/>
  </r>
  <r>
    <d v="2025-10-14T00:00:00"/>
    <s v="EMP048"/>
    <x v="7"/>
    <x v="3"/>
    <s v="Code Development"/>
    <n v="600"/>
    <n v="18"/>
    <n v="5"/>
    <n v="5.7"/>
    <n v="-0.70000000000000018"/>
    <x v="43"/>
    <n v="3.1578947368421053"/>
    <x v="2"/>
    <n v="3420"/>
    <n v="-420"/>
  </r>
  <r>
    <d v="2025-10-13T00:00:00"/>
    <s v="EMP049"/>
    <x v="8"/>
    <x v="0"/>
    <s v="Inbound Call"/>
    <n v="350"/>
    <n v="19"/>
    <n v="6"/>
    <n v="6.7"/>
    <n v="-0.70000000000000018"/>
    <x v="44"/>
    <n v="2.8358208955223878"/>
    <x v="2"/>
    <n v="2345"/>
    <n v="-245"/>
  </r>
  <r>
    <d v="2025-10-12T00:00:00"/>
    <s v="EMP050"/>
    <x v="9"/>
    <x v="1"/>
    <s v="Client Follow-up"/>
    <n v="550"/>
    <n v="20"/>
    <n v="7"/>
    <n v="7.7"/>
    <n v="-0.70000000000000018"/>
    <x v="39"/>
    <n v="2.5974025974025974"/>
    <x v="1"/>
    <n v="4235"/>
    <n v="-385"/>
  </r>
  <r>
    <d v="2025-10-11T00:00:00"/>
    <s v="EMP051"/>
    <x v="10"/>
    <x v="2"/>
    <s v="Onboarding"/>
    <n v="450"/>
    <n v="21"/>
    <n v="8"/>
    <n v="8.6999999999999993"/>
    <n v="-0.69999999999999929"/>
    <x v="45"/>
    <n v="2.4137931034482762"/>
    <x v="1"/>
    <n v="3914.9999999999995"/>
    <n v="-314.99999999999955"/>
  </r>
  <r>
    <d v="2025-10-10T00:00:00"/>
    <s v="EMP052"/>
    <x v="11"/>
    <x v="3"/>
    <s v="Ticket Resolution"/>
    <n v="600"/>
    <n v="22"/>
    <n v="5"/>
    <n v="5.8"/>
    <n v="-0.79999999999999982"/>
    <x v="46"/>
    <n v="3.7931034482758621"/>
    <x v="2"/>
    <n v="3480"/>
    <n v="-480"/>
  </r>
  <r>
    <d v="2025-10-09T00:00:00"/>
    <s v="EMP053"/>
    <x v="12"/>
    <x v="0"/>
    <s v="Data Entry"/>
    <n v="350"/>
    <n v="23"/>
    <n v="6"/>
    <n v="6.8"/>
    <n v="-0.79999999999999982"/>
    <x v="47"/>
    <n v="3.3823529411764706"/>
    <x v="2"/>
    <n v="2380"/>
    <n v="-280"/>
  </r>
  <r>
    <d v="2025-10-08T00:00:00"/>
    <s v="EMP054"/>
    <x v="13"/>
    <x v="1"/>
    <s v="Demo Call"/>
    <n v="550"/>
    <n v="24"/>
    <n v="7"/>
    <n v="7.8"/>
    <n v="-0.79999999999999982"/>
    <x v="48"/>
    <n v="3.0769230769230771"/>
    <x v="2"/>
    <n v="4290"/>
    <n v="-440"/>
  </r>
  <r>
    <d v="2025-10-07T00:00:00"/>
    <s v="EMP055"/>
    <x v="14"/>
    <x v="2"/>
    <s v="Payroll"/>
    <n v="450"/>
    <n v="25"/>
    <n v="8"/>
    <n v="8.8000000000000007"/>
    <n v="-0.80000000000000071"/>
    <x v="39"/>
    <n v="2.8409090909090908"/>
    <x v="1"/>
    <n v="3960.0000000000005"/>
    <n v="-360.00000000000045"/>
  </r>
  <r>
    <d v="2025-10-06T00:00:00"/>
    <s v="EMP056"/>
    <x v="15"/>
    <x v="3"/>
    <s v="Bug Fix"/>
    <n v="600"/>
    <n v="26"/>
    <n v="5"/>
    <n v="5.9"/>
    <n v="-0.90000000000000036"/>
    <x v="49"/>
    <n v="4.406779661016949"/>
    <x v="2"/>
    <n v="3540"/>
    <n v="-540"/>
  </r>
  <r>
    <d v="2025-10-05T00:00:00"/>
    <s v="EMP057"/>
    <x v="16"/>
    <x v="0"/>
    <s v="Verification"/>
    <n v="350"/>
    <n v="27"/>
    <n v="6"/>
    <n v="6.9"/>
    <n v="-0.90000000000000036"/>
    <x v="50"/>
    <n v="3.9130434782608692"/>
    <x v="2"/>
    <n v="2415"/>
    <n v="-315"/>
  </r>
  <r>
    <d v="2025-10-04T00:00:00"/>
    <s v="EMP058"/>
    <x v="17"/>
    <x v="1"/>
    <s v="Lead Generation"/>
    <n v="550"/>
    <n v="28"/>
    <n v="7"/>
    <n v="7.9"/>
    <n v="-0.90000000000000036"/>
    <x v="51"/>
    <n v="3.5443037974683542"/>
    <x v="2"/>
    <n v="4345"/>
    <n v="-495"/>
  </r>
  <r>
    <d v="2025-10-03T00:00:00"/>
    <s v="EMP059"/>
    <x v="18"/>
    <x v="2"/>
    <s v="Recruitment"/>
    <n v="450"/>
    <n v="29"/>
    <n v="8"/>
    <n v="8.9"/>
    <n v="-0.90000000000000036"/>
    <x v="52"/>
    <n v="3.2584269662921348"/>
    <x v="2"/>
    <n v="4005"/>
    <n v="-405"/>
  </r>
  <r>
    <d v="2025-10-02T00:00:00"/>
    <s v="EMP060"/>
    <x v="19"/>
    <x v="3"/>
    <s v="Code Development"/>
    <n v="600"/>
    <n v="30"/>
    <n v="5"/>
    <n v="6"/>
    <n v="-1"/>
    <x v="53"/>
    <n v="5"/>
    <x v="2"/>
    <n v="3600"/>
    <n v="-600"/>
  </r>
  <r>
    <d v="2025-10-01T00:00:00"/>
    <s v="EMP061"/>
    <x v="0"/>
    <x v="0"/>
    <s v="Inbound Call"/>
    <n v="350"/>
    <n v="31"/>
    <n v="6"/>
    <n v="7"/>
    <n v="-1"/>
    <x v="54"/>
    <n v="4.4285714285714288"/>
    <x v="2"/>
    <n v="2450"/>
    <n v="-350"/>
  </r>
  <r>
    <d v="2025-10-31T00:00:00"/>
    <s v="EMP062"/>
    <x v="1"/>
    <x v="1"/>
    <s v="Client Follow-up"/>
    <n v="550"/>
    <n v="32"/>
    <n v="7"/>
    <n v="8"/>
    <n v="-1"/>
    <x v="55"/>
    <n v="4"/>
    <x v="2"/>
    <n v="4400"/>
    <n v="-550"/>
  </r>
  <r>
    <d v="2025-10-30T00:00:00"/>
    <s v="EMP063"/>
    <x v="2"/>
    <x v="2"/>
    <s v="Onboarding"/>
    <n v="450"/>
    <n v="33"/>
    <n v="8"/>
    <n v="9"/>
    <n v="-1"/>
    <x v="56"/>
    <n v="3.6666666666666665"/>
    <x v="2"/>
    <n v="4050"/>
    <n v="-450"/>
  </r>
  <r>
    <d v="2025-10-29T00:00:00"/>
    <s v="EMP064"/>
    <x v="3"/>
    <x v="3"/>
    <s v="Ticket Resolution"/>
    <n v="600"/>
    <n v="34"/>
    <n v="5"/>
    <n v="6.1"/>
    <n v="-1.0999999999999996"/>
    <x v="57"/>
    <n v="5.5737704918032787"/>
    <x v="2"/>
    <n v="3660"/>
    <n v="-660"/>
  </r>
  <r>
    <d v="2025-10-28T00:00:00"/>
    <s v="EMP065"/>
    <x v="4"/>
    <x v="0"/>
    <s v="Data Entry"/>
    <n v="350"/>
    <n v="35"/>
    <n v="6"/>
    <n v="7.1"/>
    <n v="-1.0999999999999996"/>
    <x v="58"/>
    <n v="4.9295774647887329"/>
    <x v="2"/>
    <n v="2485"/>
    <n v="-385"/>
  </r>
  <r>
    <d v="2025-10-27T00:00:00"/>
    <s v="EMP066"/>
    <x v="5"/>
    <x v="1"/>
    <s v="Demo Call"/>
    <n v="550"/>
    <n v="36"/>
    <n v="7"/>
    <n v="8.1"/>
    <n v="-1.0999999999999996"/>
    <x v="59"/>
    <n v="4.4444444444444446"/>
    <x v="2"/>
    <n v="4455"/>
    <n v="-605"/>
  </r>
  <r>
    <d v="2025-10-26T00:00:00"/>
    <s v="EMP067"/>
    <x v="6"/>
    <x v="2"/>
    <s v="Payroll"/>
    <n v="450"/>
    <n v="37"/>
    <n v="8"/>
    <n v="9.1"/>
    <n v="-1.0999999999999996"/>
    <x v="60"/>
    <n v="4.0659340659340657"/>
    <x v="2"/>
    <n v="4095"/>
    <n v="-495"/>
  </r>
  <r>
    <d v="2025-10-25T00:00:00"/>
    <s v="EMP068"/>
    <x v="7"/>
    <x v="3"/>
    <s v="Bug Fix"/>
    <n v="600"/>
    <n v="38"/>
    <n v="5"/>
    <n v="6.2"/>
    <n v="-1.2000000000000002"/>
    <x v="61"/>
    <n v="6.129032258064516"/>
    <x v="2"/>
    <n v="3720"/>
    <n v="-720"/>
  </r>
  <r>
    <d v="2025-10-24T00:00:00"/>
    <s v="EMP069"/>
    <x v="8"/>
    <x v="0"/>
    <s v="Verification"/>
    <n v="350"/>
    <n v="39"/>
    <n v="6"/>
    <n v="7.2"/>
    <n v="-1.2000000000000002"/>
    <x v="62"/>
    <n v="5.416666666666667"/>
    <x v="2"/>
    <n v="2520"/>
    <n v="-420"/>
  </r>
  <r>
    <d v="2025-10-23T00:00:00"/>
    <s v="EMP070"/>
    <x v="9"/>
    <x v="1"/>
    <s v="Lead Generation"/>
    <n v="550"/>
    <n v="40"/>
    <n v="7"/>
    <n v="8.1999999999999993"/>
    <n v="-1.1999999999999993"/>
    <x v="63"/>
    <n v="4.8780487804878057"/>
    <x v="2"/>
    <n v="4510"/>
    <n v="-660"/>
  </r>
  <r>
    <d v="2025-10-22T00:00:00"/>
    <s v="EMP071"/>
    <x v="10"/>
    <x v="2"/>
    <s v="Recruitment"/>
    <n v="450"/>
    <n v="41"/>
    <n v="8"/>
    <n v="9.1999999999999993"/>
    <n v="-1.1999999999999993"/>
    <x v="64"/>
    <n v="4.4565217391304355"/>
    <x v="2"/>
    <n v="4140"/>
    <n v="-540"/>
  </r>
  <r>
    <d v="2025-10-21T00:00:00"/>
    <s v="EMP072"/>
    <x v="11"/>
    <x v="3"/>
    <s v="Code Development"/>
    <n v="600"/>
    <n v="42"/>
    <n v="5"/>
    <n v="6.3"/>
    <n v="-1.2999999999999998"/>
    <x v="65"/>
    <n v="6.666666666666667"/>
    <x v="2"/>
    <n v="3780"/>
    <n v="-780"/>
  </r>
  <r>
    <d v="2025-10-20T00:00:00"/>
    <s v="EMP073"/>
    <x v="12"/>
    <x v="0"/>
    <s v="Inbound Call"/>
    <n v="350"/>
    <n v="43"/>
    <n v="6"/>
    <n v="7.3"/>
    <n v="-1.2999999999999998"/>
    <x v="66"/>
    <n v="5.89041095890411"/>
    <x v="2"/>
    <n v="2555"/>
    <n v="-455"/>
  </r>
  <r>
    <d v="2025-10-19T00:00:00"/>
    <s v="EMP074"/>
    <x v="13"/>
    <x v="1"/>
    <s v="Client Follow-up"/>
    <n v="550"/>
    <n v="44"/>
    <n v="7"/>
    <n v="8.4"/>
    <n v="-1.4000000000000004"/>
    <x v="62"/>
    <n v="5.2380952380952381"/>
    <x v="2"/>
    <n v="4620"/>
    <n v="-770"/>
  </r>
  <r>
    <d v="2025-10-18T00:00:00"/>
    <s v="EMP075"/>
    <x v="14"/>
    <x v="2"/>
    <s v="Onboarding"/>
    <n v="450"/>
    <n v="45"/>
    <n v="8"/>
    <n v="9.4"/>
    <n v="-1.4000000000000004"/>
    <x v="67"/>
    <n v="4.787234042553191"/>
    <x v="2"/>
    <n v="4230"/>
    <n v="-630"/>
  </r>
  <r>
    <d v="2025-10-17T00:00:00"/>
    <s v="EMP076"/>
    <x v="15"/>
    <x v="3"/>
    <s v="Ticket Resolution"/>
    <n v="600"/>
    <n v="46"/>
    <n v="5"/>
    <n v="6.4"/>
    <n v="-1.4000000000000004"/>
    <x v="68"/>
    <n v="7.1875"/>
    <x v="2"/>
    <n v="3840"/>
    <n v="-840"/>
  </r>
  <r>
    <d v="2025-10-16T00:00:00"/>
    <s v="EMP077"/>
    <x v="16"/>
    <x v="0"/>
    <s v="Data Entry"/>
    <n v="350"/>
    <n v="47"/>
    <n v="6"/>
    <n v="7.4"/>
    <n v="-1.4000000000000004"/>
    <x v="69"/>
    <n v="6.3513513513513509"/>
    <x v="2"/>
    <n v="2590"/>
    <n v="-490"/>
  </r>
  <r>
    <d v="2025-10-15T00:00:00"/>
    <s v="EMP078"/>
    <x v="17"/>
    <x v="1"/>
    <s v="Demo Call"/>
    <n v="550"/>
    <n v="48"/>
    <n v="7"/>
    <n v="8.5"/>
    <n v="-1.5"/>
    <x v="70"/>
    <n v="5.6470588235294121"/>
    <x v="2"/>
    <n v="4675"/>
    <n v="-825"/>
  </r>
  <r>
    <d v="2025-10-14T00:00:00"/>
    <s v="EMP079"/>
    <x v="18"/>
    <x v="2"/>
    <s v="Payroll"/>
    <n v="450"/>
    <n v="49"/>
    <n v="8"/>
    <n v="9.5"/>
    <n v="-1.5"/>
    <x v="71"/>
    <n v="5.1578947368421053"/>
    <x v="2"/>
    <n v="4275"/>
    <n v="-675"/>
  </r>
  <r>
    <d v="2025-10-13T00:00:00"/>
    <s v="EMP080"/>
    <x v="19"/>
    <x v="3"/>
    <s v="Bug Fix"/>
    <n v="600"/>
    <n v="10"/>
    <n v="5"/>
    <n v="6.5"/>
    <n v="-1.5"/>
    <x v="72"/>
    <n v="1.5384615384615385"/>
    <x v="2"/>
    <n v="3900"/>
    <n v="-900"/>
  </r>
  <r>
    <d v="2025-10-12T00:00:00"/>
    <s v="EMP081"/>
    <x v="0"/>
    <x v="0"/>
    <s v="Verification"/>
    <n v="350"/>
    <n v="11"/>
    <n v="6"/>
    <n v="7.5"/>
    <n v="-1.5"/>
    <x v="73"/>
    <n v="1.4666666666666666"/>
    <x v="2"/>
    <n v="2625"/>
    <n v="-525"/>
  </r>
  <r>
    <d v="2025-10-11T00:00:00"/>
    <s v="EMP082"/>
    <x v="1"/>
    <x v="1"/>
    <s v="Lead Generation"/>
    <n v="550"/>
    <n v="12"/>
    <n v="7"/>
    <n v="8.6"/>
    <n v="-1.5999999999999996"/>
    <x v="74"/>
    <n v="1.3953488372093024"/>
    <x v="2"/>
    <n v="4730"/>
    <n v="-880"/>
  </r>
  <r>
    <d v="2025-10-10T00:00:00"/>
    <s v="EMP083"/>
    <x v="2"/>
    <x v="2"/>
    <s v="Recruitment"/>
    <n v="450"/>
    <n v="13"/>
    <n v="8"/>
    <n v="9.6"/>
    <n v="-1.5999999999999996"/>
    <x v="53"/>
    <n v="1.3541666666666667"/>
    <x v="2"/>
    <n v="4320"/>
    <n v="-720"/>
  </r>
  <r>
    <d v="2025-10-09T00:00:00"/>
    <s v="EMP084"/>
    <x v="3"/>
    <x v="3"/>
    <s v="Code Development"/>
    <n v="600"/>
    <n v="14"/>
    <n v="5"/>
    <n v="6.6"/>
    <n v="-1.5999999999999996"/>
    <x v="75"/>
    <n v="2.1212121212121211"/>
    <x v="2"/>
    <n v="3960"/>
    <n v="-960"/>
  </r>
  <r>
    <d v="2025-10-08T00:00:00"/>
    <s v="EMP085"/>
    <x v="4"/>
    <x v="0"/>
    <s v="Inbound Call"/>
    <n v="350"/>
    <n v="15"/>
    <n v="6"/>
    <n v="7.6"/>
    <n v="-1.5999999999999996"/>
    <x v="76"/>
    <n v="1.9736842105263159"/>
    <x v="2"/>
    <n v="2660"/>
    <n v="-560"/>
  </r>
  <r>
    <d v="2025-10-07T00:00:00"/>
    <s v="EMP086"/>
    <x v="5"/>
    <x v="1"/>
    <s v="Client Follow-up"/>
    <n v="550"/>
    <n v="16"/>
    <n v="7"/>
    <n v="8.6999999999999993"/>
    <n v="-1.6999999999999993"/>
    <x v="77"/>
    <n v="1.8390804597701151"/>
    <x v="2"/>
    <n v="4785"/>
    <n v="-935"/>
  </r>
  <r>
    <d v="2025-10-06T00:00:00"/>
    <s v="EMP087"/>
    <x v="6"/>
    <x v="2"/>
    <s v="Onboarding"/>
    <n v="450"/>
    <n v="17"/>
    <n v="8"/>
    <n v="9.8000000000000007"/>
    <n v="-1.8000000000000007"/>
    <x v="78"/>
    <n v="1.7346938775510203"/>
    <x v="2"/>
    <n v="4410"/>
    <n v="-810"/>
  </r>
  <r>
    <s v="Storage"/>
    <m/>
    <x v="20"/>
    <x v="4"/>
    <m/>
    <m/>
    <m/>
    <m/>
    <m/>
    <n v="0"/>
    <x v="37"/>
    <n v="0"/>
    <x v="2"/>
    <n v="0"/>
    <n v="0"/>
  </r>
  <r>
    <d v="2025-10-05T00:00:00"/>
    <s v="EMP088"/>
    <x v="7"/>
    <x v="3"/>
    <s v="Ticket Resolution"/>
    <n v="600"/>
    <n v="18"/>
    <n v="5"/>
    <n v="6.8"/>
    <n v="-1.7999999999999998"/>
    <x v="79"/>
    <n v="2.6470588235294117"/>
    <x v="2"/>
    <n v="4080"/>
    <n v="-1080"/>
  </r>
  <r>
    <d v="2025-10-04T00:00:00"/>
    <s v="EMP089"/>
    <x v="8"/>
    <x v="0"/>
    <s v="Data Entry"/>
    <n v="350"/>
    <n v="19"/>
    <n v="6"/>
    <n v="7.8"/>
    <n v="-1.7999999999999998"/>
    <x v="72"/>
    <n v="2.4358974358974361"/>
    <x v="2"/>
    <n v="2730"/>
    <n v="-630"/>
  </r>
  <r>
    <d v="2025-10-03T00:00:00"/>
    <s v="EMP090"/>
    <x v="9"/>
    <x v="1"/>
    <s v="Demo Call"/>
    <n v="550"/>
    <n v="20"/>
    <n v="7"/>
    <n v="8.8000000000000007"/>
    <n v="-1.8000000000000007"/>
    <x v="80"/>
    <n v="2.2727272727272725"/>
    <x v="2"/>
    <n v="4840"/>
    <n v="-990"/>
  </r>
  <r>
    <d v="2025-10-02T00:00:00"/>
    <s v="EMP091"/>
    <x v="10"/>
    <x v="2"/>
    <s v="Payroll"/>
    <n v="450"/>
    <n v="21"/>
    <n v="8"/>
    <n v="9.9"/>
    <n v="-1.9000000000000004"/>
    <x v="81"/>
    <n v="2.1212121212121211"/>
    <x v="2"/>
    <n v="4455"/>
    <n v="-855"/>
  </r>
  <r>
    <d v="2025-10-01T00:00:00"/>
    <s v="EMP092"/>
    <x v="11"/>
    <x v="3"/>
    <s v="Bug Fix"/>
    <n v="600"/>
    <n v="22"/>
    <n v="5"/>
    <n v="6.9"/>
    <n v="-1.9000000000000004"/>
    <x v="82"/>
    <n v="3.1884057971014492"/>
    <x v="2"/>
    <n v="4140"/>
    <n v="-1140"/>
  </r>
  <r>
    <s v="Examples"/>
    <m/>
    <x v="20"/>
    <x v="4"/>
    <m/>
    <m/>
    <m/>
    <m/>
    <m/>
    <n v="0"/>
    <x v="37"/>
    <n v="0"/>
    <x v="2"/>
    <n v="0"/>
    <n v="0"/>
  </r>
  <r>
    <d v="2025-10-31T00:00:00"/>
    <s v="EMP093"/>
    <x v="12"/>
    <x v="0"/>
    <s v="Verification"/>
    <n v="350"/>
    <n v="23"/>
    <n v="6"/>
    <n v="7.9"/>
    <n v="-1.9000000000000004"/>
    <x v="83"/>
    <n v="2.9113924050632911"/>
    <x v="2"/>
    <n v="2765"/>
    <n v="-665"/>
  </r>
  <r>
    <d v="2025-10-30T00:00:00"/>
    <s v="EMP094"/>
    <x v="13"/>
    <x v="1"/>
    <s v="Lead Generation"/>
    <n v="550"/>
    <n v="24"/>
    <n v="7"/>
    <n v="8.9"/>
    <n v="-1.9000000000000004"/>
    <x v="84"/>
    <n v="2.696629213483146"/>
    <x v="2"/>
    <n v="4895"/>
    <n v="-1045"/>
  </r>
  <r>
    <d v="2025-10-29T00:00:00"/>
    <s v="EMP095"/>
    <x v="14"/>
    <x v="2"/>
    <s v="Recruitment"/>
    <n v="450"/>
    <n v="25"/>
    <n v="8"/>
    <n v="10"/>
    <n v="-2"/>
    <x v="73"/>
    <n v="2.5"/>
    <x v="2"/>
    <n v="4500"/>
    <n v="-900"/>
  </r>
  <r>
    <d v="2025-10-28T00:00:00"/>
    <s v="EMP096"/>
    <x v="15"/>
    <x v="3"/>
    <s v="Code Development"/>
    <n v="600"/>
    <n v="26"/>
    <n v="5"/>
    <n v="7"/>
    <n v="-2"/>
    <x v="85"/>
    <n v="3.7142857142857144"/>
    <x v="2"/>
    <n v="4200"/>
    <n v="-1200"/>
  </r>
  <r>
    <d v="2025-10-27T00:00:00"/>
    <s v="EMP097"/>
    <x v="16"/>
    <x v="0"/>
    <s v="Inbound Call"/>
    <n v="350"/>
    <n v="27"/>
    <n v="6"/>
    <n v="8"/>
    <n v="-2"/>
    <x v="86"/>
    <n v="3.375"/>
    <x v="2"/>
    <n v="2800"/>
    <n v="-700"/>
  </r>
  <r>
    <s v="Signature"/>
    <m/>
    <x v="20"/>
    <x v="4"/>
    <m/>
    <m/>
    <m/>
    <m/>
    <m/>
    <n v="0"/>
    <x v="37"/>
    <n v="0"/>
    <x v="2"/>
    <n v="0"/>
    <n v="0"/>
  </r>
  <r>
    <d v="2025-10-26T00:00:00"/>
    <s v="EMP098"/>
    <x v="17"/>
    <x v="1"/>
    <s v="Client Follow-up"/>
    <n v="550"/>
    <n v="28"/>
    <n v="7"/>
    <n v="9"/>
    <n v="-2"/>
    <x v="87"/>
    <n v="3.1111111111111112"/>
    <x v="2"/>
    <n v="4950"/>
    <n v="-1100"/>
  </r>
  <r>
    <d v="2025-10-25T00:00:00"/>
    <s v="EMP099"/>
    <x v="18"/>
    <x v="2"/>
    <s v="Onboarding"/>
    <n v="450"/>
    <n v="29"/>
    <n v="8"/>
    <n v="10"/>
    <n v="-2"/>
    <x v="73"/>
    <n v="2.9"/>
    <x v="2"/>
    <n v="4500"/>
    <n v="-900"/>
  </r>
  <r>
    <d v="2025-10-24T00:00:00"/>
    <s v="EMP100"/>
    <x v="19"/>
    <x v="3"/>
    <s v="Ticket Resolution"/>
    <n v="600"/>
    <n v="30"/>
    <n v="5"/>
    <n v="7"/>
    <n v="-2"/>
    <x v="85"/>
    <n v="4.2857142857142856"/>
    <x v="2"/>
    <n v="4200"/>
    <n v="-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A20EF1-EB02-455B-9A01-88D2C367888E}"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15">
    <pivotField showAll="0"/>
    <pivotField showAll="0"/>
    <pivotField showAll="0">
      <items count="22">
        <item h="1" x="0"/>
        <item h="1" x="14"/>
        <item h="1" x="2"/>
        <item h="1" x="5"/>
        <item h="1" x="7"/>
        <item h="1" x="16"/>
        <item h="1" x="8"/>
        <item h="1" x="15"/>
        <item h="1" x="9"/>
        <item h="1" x="4"/>
        <item h="1" x="18"/>
        <item h="1" x="19"/>
        <item h="1" x="17"/>
        <item h="1" x="10"/>
        <item h="1" x="1"/>
        <item x="6"/>
        <item h="1" x="11"/>
        <item h="1" x="12"/>
        <item h="1" x="3"/>
        <item h="1" x="13"/>
        <item h="1" x="20"/>
        <item t="default"/>
      </items>
    </pivotField>
    <pivotField axis="axisRow" showAll="0">
      <items count="6">
        <item x="0"/>
        <item x="2"/>
        <item x="3"/>
        <item x="1"/>
        <item x="4"/>
        <item t="default"/>
      </items>
    </pivotField>
    <pivotField showAll="0"/>
    <pivotField showAll="0"/>
    <pivotField showAll="0"/>
    <pivotField showAll="0"/>
    <pivotField showAll="0"/>
    <pivotField showAll="0"/>
    <pivotField dataField="1" numFmtId="9" showAll="0">
      <items count="89">
        <item x="37"/>
        <item x="85"/>
        <item x="82"/>
        <item x="79"/>
        <item x="86"/>
        <item x="75"/>
        <item x="83"/>
        <item x="72"/>
        <item x="87"/>
        <item x="68"/>
        <item x="84"/>
        <item x="76"/>
        <item x="65"/>
        <item x="80"/>
        <item x="73"/>
        <item x="77"/>
        <item x="61"/>
        <item x="81"/>
        <item x="69"/>
        <item x="74"/>
        <item x="78"/>
        <item x="57"/>
        <item x="66"/>
        <item x="70"/>
        <item x="62"/>
        <item x="53"/>
        <item x="71"/>
        <item x="58"/>
        <item x="49"/>
        <item x="67"/>
        <item x="63"/>
        <item x="54"/>
        <item x="46"/>
        <item x="59"/>
        <item x="50"/>
        <item x="64"/>
        <item x="55"/>
        <item x="43"/>
        <item x="60"/>
        <item x="47"/>
        <item x="51"/>
        <item x="56"/>
        <item x="44"/>
        <item x="48"/>
        <item x="52"/>
        <item x="39"/>
        <item x="45"/>
        <item x="41"/>
        <item x="40"/>
        <item x="34"/>
        <item x="42"/>
        <item x="35"/>
        <item x="30"/>
        <item x="36"/>
        <item x="38"/>
        <item x="31"/>
        <item x="32"/>
        <item x="26"/>
        <item x="33"/>
        <item x="27"/>
        <item x="28"/>
        <item x="29"/>
        <item x="22"/>
        <item x="23"/>
        <item x="24"/>
        <item x="25"/>
        <item x="21"/>
        <item x="20"/>
        <item x="19"/>
        <item x="18"/>
        <item x="17"/>
        <item x="16"/>
        <item x="15"/>
        <item x="14"/>
        <item x="12"/>
        <item x="13"/>
        <item x="11"/>
        <item x="10"/>
        <item x="9"/>
        <item x="8"/>
        <item x="5"/>
        <item x="6"/>
        <item x="7"/>
        <item x="4"/>
        <item x="3"/>
        <item x="2"/>
        <item x="1"/>
        <item x="0"/>
        <item t="default"/>
      </items>
    </pivotField>
    <pivotField numFmtId="2" showAll="0"/>
    <pivotField showAll="0">
      <items count="4">
        <item x="0"/>
        <item h="1" x="1"/>
        <item h="1" x="2"/>
        <item t="default"/>
      </items>
    </pivotField>
    <pivotField showAll="0"/>
    <pivotField showAll="0"/>
  </pivotFields>
  <rowFields count="1">
    <field x="3"/>
  </rowFields>
  <rowItems count="2">
    <i>
      <x v="1"/>
    </i>
    <i t="grand">
      <x/>
    </i>
  </rowItems>
  <colItems count="1">
    <i/>
  </colItems>
  <dataFields count="1">
    <dataField name="Average of Efficiency %" fld="10" subtotal="average" baseField="3" baseItem="0" numFmtId="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175D1A4C-B584-4E62-9FDA-DEC62CA5F6B6}" sourceName="Employee Name">
  <pivotTables>
    <pivotTable tabId="2" name="PivotTable1"/>
  </pivotTables>
  <data>
    <tabular pivotCacheId="293746034">
      <items count="21">
        <i x="0"/>
        <i x="2"/>
        <i x="5"/>
        <i x="4"/>
        <i x="1"/>
        <i x="6" s="1"/>
        <i x="3"/>
        <i x="14" nd="1"/>
        <i x="7" nd="1"/>
        <i x="16" nd="1"/>
        <i x="8" nd="1"/>
        <i x="15" nd="1"/>
        <i x="9" nd="1"/>
        <i x="18" nd="1"/>
        <i x="19" nd="1"/>
        <i x="17" nd="1"/>
        <i x="10" nd="1"/>
        <i x="11" nd="1"/>
        <i x="12" nd="1"/>
        <i x="13" nd="1"/>
        <i x="2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vity_Status" xr10:uid="{C21E3BC5-4FF5-403D-83BC-DE4FCA61F129}" sourceName="Productivity Status">
  <pivotTables>
    <pivotTable tabId="2" name="PivotTable1"/>
  </pivotTables>
  <data>
    <tabular pivotCacheId="293746034">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Name" xr10:uid="{E98447CE-4D14-4DCB-BAA2-D903A4614DCC}" cache="Slicer_Employee_Name" caption="Employee Name" rowHeight="336550"/>
  <slicer name="Productivity Status" xr10:uid="{DA24C24E-5184-4AFA-8190-64D7F639FD10}" cache="Slicer_Productivity_Status" caption="Productivity Status" rowHeight="336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D6414B-2699-4945-87EB-2396601B8C2C}" name="Table1" displayName="Table1" ref="A1:O105" totalsRowShown="0" headerRowDxfId="1" dataDxfId="2" tableBorderDxfId="17">
  <autoFilter ref="A1:O105" xr:uid="{94D6414B-2699-4945-87EB-2396601B8C2C}"/>
  <tableColumns count="15">
    <tableColumn id="1" xr3:uid="{52D69549-3664-4A5B-BC97-D4734161DA25}" name="Date" dataDxfId="16"/>
    <tableColumn id="2" xr3:uid="{124A0ABA-3C34-4D43-BF7A-B11664F7CDC7}" name="Employee ID" dataDxfId="15"/>
    <tableColumn id="3" xr3:uid="{8F039368-5DF3-4339-9543-8CCADB4BF155}" name="Employee Name" dataDxfId="14"/>
    <tableColumn id="4" xr3:uid="{9C9EA274-BBB7-4611-909C-F09818629ABA}" name="Department" dataDxfId="13"/>
    <tableColumn id="5" xr3:uid="{24C4DE69-ED02-4412-82FA-2C69262335E6}" name="Task" dataDxfId="12"/>
    <tableColumn id="6" xr3:uid="{4F176EA7-9856-4561-8C47-456B0DEE107A}" name="Hourly Rate (INR)" dataDxfId="11"/>
    <tableColumn id="7" xr3:uid="{E1F1F5CE-EA10-4D7B-855F-4A768C7CE830}" name="Units Completed" dataDxfId="10"/>
    <tableColumn id="8" xr3:uid="{4713FCC8-3E87-4E7E-9AC0-6D92BF0A2831}" name="Target Time (Hrs)" dataDxfId="9"/>
    <tableColumn id="9" xr3:uid="{C91C1B1A-81FF-42A6-8EE7-0041DBB5663A}" name="Actual Time (Hrs)" dataDxfId="8"/>
    <tableColumn id="10" xr3:uid="{4ABCC1C3-D60E-4B6A-927F-79FCD86AA6D8}" name="Time Variance (Hrs)" dataDxfId="7">
      <calculatedColumnFormula>Table1[[#This Row],[Target Time (Hrs)]]-Table1[[#This Row],[Actual Time (Hrs)]]</calculatedColumnFormula>
    </tableColumn>
    <tableColumn id="11" xr3:uid="{CE1759C1-E16C-4BF0-96C8-8857B40994A0}" name="Efficiency %" dataDxfId="6">
      <calculatedColumnFormula>IF(Table1[[#This Row],[Actual Time (Hrs)]]&gt;0, Table1[[#This Row],[Target Time (Hrs)]]/Table1[[#This Row],[Actual Time (Hrs)]], 0)</calculatedColumnFormula>
    </tableColumn>
    <tableColumn id="12" xr3:uid="{C378C9FB-D617-4657-B376-44E8F124DF66}" name="Units per Hour" dataDxfId="0">
      <calculatedColumnFormula>IF(Table1[[#This Row],[Actual Time (Hrs)]]&gt;0, Table1[[#This Row],[Units Completed]]/Table1[[#This Row],[Actual Time (Hrs)]], 0)</calculatedColumnFormula>
    </tableColumn>
    <tableColumn id="13" xr3:uid="{28D85960-B1AB-4722-900A-93469D232B3B}" name="Productivity Status" dataDxfId="5">
      <calculatedColumnFormula>_xlfn.IFS(Table1[[#This Row],[Efficiency %]]&gt;=1.1, "Exceeds", Table1[[#This Row],[Efficiency %]]&gt;=0.9, "Meets", Table1[[#This Row],[Efficiency %]]&lt;0.9, "Needs Improvement")</calculatedColumnFormula>
    </tableColumn>
    <tableColumn id="14" xr3:uid="{F1AEB21A-BB17-4BD6-BB97-CE4657CEDAF6}" name="Total Task Cost (INR)" dataDxfId="4">
      <calculatedColumnFormula>Table1[[#This Row],[Actual Time (Hrs)]]*Table1[[#This Row],[Hourly Rate (INR)]]</calculatedColumnFormula>
    </tableColumn>
    <tableColumn id="15" xr3:uid="{02E35F3D-C51C-453D-ADC6-80A4A96F9B41}" name="Cost Variance (INR)" dataDxfId="3">
      <calculatedColumnFormula>(Table1[[#This Row],[Target Time (Hrs)]]*Table1[[#This Row],[Hourly Rate (INR)]])-Table1[[#This Row],[Total Task Cost (INR)]]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F6CD-1AFC-4BB0-85EE-1C920AA42800}">
  <dimension ref="A3:B5"/>
  <sheetViews>
    <sheetView tabSelected="1" workbookViewId="0">
      <selection activeCell="B4" sqref="B4"/>
    </sheetView>
  </sheetViews>
  <sheetFormatPr defaultRowHeight="25.5" x14ac:dyDescent="0.7"/>
  <cols>
    <col min="1" max="1" width="12.6640625" bestFit="1" customWidth="1"/>
    <col min="2" max="2" width="21.77734375" bestFit="1" customWidth="1"/>
  </cols>
  <sheetData>
    <row r="3" spans="1:2" x14ac:dyDescent="0.7">
      <c r="A3" s="10" t="s">
        <v>155</v>
      </c>
      <c r="B3" t="s">
        <v>157</v>
      </c>
    </row>
    <row r="4" spans="1:2" x14ac:dyDescent="0.7">
      <c r="A4" s="11" t="s">
        <v>25</v>
      </c>
      <c r="B4" s="1">
        <v>1.1111111111111112</v>
      </c>
    </row>
    <row r="5" spans="1:2" x14ac:dyDescent="0.7">
      <c r="A5" s="11" t="s">
        <v>156</v>
      </c>
      <c r="B5" s="1">
        <v>1.1111111111111112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7DAAE-38F6-46E4-97BA-7D7A2BF77013}">
  <dimension ref="A1:O105"/>
  <sheetViews>
    <sheetView workbookViewId="0">
      <selection activeCell="C4" sqref="C4"/>
    </sheetView>
  </sheetViews>
  <sheetFormatPr defaultRowHeight="25.5" x14ac:dyDescent="0.7"/>
  <cols>
    <col min="1" max="1" width="8.88671875" style="2"/>
    <col min="2" max="2" width="13.21875" style="2" customWidth="1"/>
    <col min="3" max="3" width="16.109375" style="2" customWidth="1"/>
    <col min="4" max="4" width="12" style="2" customWidth="1"/>
    <col min="5" max="5" width="8.88671875" style="2" customWidth="1"/>
    <col min="6" max="6" width="17.77734375" style="2" customWidth="1"/>
    <col min="7" max="7" width="16.33203125" style="2" customWidth="1"/>
    <col min="8" max="8" width="17.5546875" style="2" customWidth="1"/>
    <col min="9" max="9" width="17.33203125" style="2" customWidth="1"/>
    <col min="10" max="10" width="19.44140625" style="2" customWidth="1"/>
    <col min="11" max="11" width="12.77734375" style="2" customWidth="1"/>
    <col min="12" max="12" width="15.109375" style="8" customWidth="1"/>
    <col min="13" max="13" width="18.109375" style="2" customWidth="1"/>
    <col min="14" max="14" width="21.21875" style="2" customWidth="1"/>
    <col min="15" max="15" width="19.5546875" style="2" customWidth="1"/>
    <col min="16" max="16384" width="8.88671875" style="2"/>
  </cols>
  <sheetData>
    <row r="1" spans="1:15" ht="26.25" thickBot="1" x14ac:dyDescent="0.75">
      <c r="A1" s="2" t="s">
        <v>0</v>
      </c>
      <c r="B1" s="2" t="s">
        <v>1</v>
      </c>
      <c r="C1" s="2" t="s">
        <v>2</v>
      </c>
      <c r="D1" s="2" t="s">
        <v>3</v>
      </c>
      <c r="E1" s="2" t="s">
        <v>4</v>
      </c>
      <c r="F1" s="2" t="s">
        <v>5</v>
      </c>
      <c r="G1" s="2" t="s">
        <v>6</v>
      </c>
      <c r="H1" s="2" t="s">
        <v>7</v>
      </c>
      <c r="I1" s="2" t="s">
        <v>8</v>
      </c>
      <c r="J1" s="2" t="s">
        <v>9</v>
      </c>
      <c r="K1" s="2" t="s">
        <v>10</v>
      </c>
      <c r="L1" s="8" t="s">
        <v>11</v>
      </c>
      <c r="M1" s="2" t="s">
        <v>12</v>
      </c>
      <c r="N1" s="2" t="s">
        <v>13</v>
      </c>
      <c r="O1" s="2" t="s">
        <v>14</v>
      </c>
    </row>
    <row r="2" spans="1:15" ht="29.25" thickBot="1" x14ac:dyDescent="0.75">
      <c r="A2" s="3">
        <v>45960</v>
      </c>
      <c r="B2" s="4" t="s">
        <v>15</v>
      </c>
      <c r="C2" s="4" t="s">
        <v>16</v>
      </c>
      <c r="D2" s="4" t="s">
        <v>17</v>
      </c>
      <c r="E2" s="4" t="s">
        <v>18</v>
      </c>
      <c r="F2" s="4">
        <v>350</v>
      </c>
      <c r="G2" s="4">
        <v>11</v>
      </c>
      <c r="H2" s="4">
        <v>6</v>
      </c>
      <c r="I2" s="4">
        <v>5.3</v>
      </c>
      <c r="J2" s="4">
        <f>Table1[[#This Row],[Target Time (Hrs)]]-Table1[[#This Row],[Actual Time (Hrs)]]</f>
        <v>0.70000000000000018</v>
      </c>
      <c r="K2" s="5">
        <f>IF(Table1[[#This Row],[Actual Time (Hrs)]]&gt;0, Table1[[#This Row],[Target Time (Hrs)]]/Table1[[#This Row],[Actual Time (Hrs)]], 0)</f>
        <v>1.1320754716981132</v>
      </c>
      <c r="L2" s="9">
        <f>IF(Table1[[#This Row],[Actual Time (Hrs)]]&gt;0, Table1[[#This Row],[Units Completed]]/Table1[[#This Row],[Actual Time (Hrs)]], 0)</f>
        <v>2.0754716981132075</v>
      </c>
      <c r="M2" s="4" t="str">
        <f>_xlfn.IFS(Table1[[#This Row],[Efficiency %]]&gt;=1.1, "Exceeds", Table1[[#This Row],[Efficiency %]]&gt;=0.9, "Meets", Table1[[#This Row],[Efficiency %]]&lt;0.9, "Needs Improvement")</f>
        <v>Exceeds</v>
      </c>
      <c r="N2" s="4">
        <f>Table1[[#This Row],[Actual Time (Hrs)]]*Table1[[#This Row],[Hourly Rate (INR)]]</f>
        <v>1855</v>
      </c>
      <c r="O2" s="4">
        <f>(Table1[[#This Row],[Target Time (Hrs)]]*Table1[[#This Row],[Hourly Rate (INR)]])-Table1[[#This Row],[Total Task Cost (INR)]]</f>
        <v>245</v>
      </c>
    </row>
    <row r="3" spans="1:15" ht="29.25" thickBot="1" x14ac:dyDescent="0.75">
      <c r="A3" s="3">
        <v>45959</v>
      </c>
      <c r="B3" s="4" t="s">
        <v>19</v>
      </c>
      <c r="C3" s="4" t="s">
        <v>20</v>
      </c>
      <c r="D3" s="4" t="s">
        <v>21</v>
      </c>
      <c r="E3" s="4" t="s">
        <v>22</v>
      </c>
      <c r="F3" s="4">
        <v>550</v>
      </c>
      <c r="G3" s="4">
        <v>12</v>
      </c>
      <c r="H3" s="4">
        <v>7</v>
      </c>
      <c r="I3" s="4">
        <v>6.2</v>
      </c>
      <c r="J3" s="4">
        <f>Table1[[#This Row],[Target Time (Hrs)]]-Table1[[#This Row],[Actual Time (Hrs)]]</f>
        <v>0.79999999999999982</v>
      </c>
      <c r="K3" s="5">
        <f>IF(Table1[[#This Row],[Actual Time (Hrs)]]&gt;0, Table1[[#This Row],[Target Time (Hrs)]]/Table1[[#This Row],[Actual Time (Hrs)]], 0)</f>
        <v>1.129032258064516</v>
      </c>
      <c r="L3" s="9">
        <f>IF(Table1[[#This Row],[Actual Time (Hrs)]]&gt;0, Table1[[#This Row],[Units Completed]]/Table1[[#This Row],[Actual Time (Hrs)]], 0)</f>
        <v>1.9354838709677418</v>
      </c>
      <c r="M3" s="4" t="str">
        <f>_xlfn.IFS(Table1[[#This Row],[Efficiency %]]&gt;=1.1, "Exceeds", Table1[[#This Row],[Efficiency %]]&gt;=0.9, "Meets", Table1[[#This Row],[Efficiency %]]&lt;0.9, "Needs Improvement")</f>
        <v>Exceeds</v>
      </c>
      <c r="N3" s="4">
        <f>Table1[[#This Row],[Actual Time (Hrs)]]*Table1[[#This Row],[Hourly Rate (INR)]]</f>
        <v>3410</v>
      </c>
      <c r="O3" s="4">
        <f>(Table1[[#This Row],[Target Time (Hrs)]]*Table1[[#This Row],[Hourly Rate (INR)]])-Table1[[#This Row],[Total Task Cost (INR)]]</f>
        <v>440</v>
      </c>
    </row>
    <row r="4" spans="1:15" ht="29.25" thickBot="1" x14ac:dyDescent="0.75">
      <c r="A4" s="3">
        <v>45958</v>
      </c>
      <c r="B4" s="4" t="s">
        <v>23</v>
      </c>
      <c r="C4" s="4" t="s">
        <v>24</v>
      </c>
      <c r="D4" s="4" t="s">
        <v>25</v>
      </c>
      <c r="E4" s="4" t="s">
        <v>26</v>
      </c>
      <c r="F4" s="4">
        <v>450</v>
      </c>
      <c r="G4" s="4">
        <v>13</v>
      </c>
      <c r="H4" s="4">
        <v>8</v>
      </c>
      <c r="I4" s="4">
        <v>7.1</v>
      </c>
      <c r="J4" s="4">
        <f>Table1[[#This Row],[Target Time (Hrs)]]-Table1[[#This Row],[Actual Time (Hrs)]]</f>
        <v>0.90000000000000036</v>
      </c>
      <c r="K4" s="5">
        <f>IF(Table1[[#This Row],[Actual Time (Hrs)]]&gt;0, Table1[[#This Row],[Target Time (Hrs)]]/Table1[[#This Row],[Actual Time (Hrs)]], 0)</f>
        <v>1.1267605633802817</v>
      </c>
      <c r="L4" s="9">
        <f>IF(Table1[[#This Row],[Actual Time (Hrs)]]&gt;0, Table1[[#This Row],[Units Completed]]/Table1[[#This Row],[Actual Time (Hrs)]], 0)</f>
        <v>1.8309859154929577</v>
      </c>
      <c r="M4" s="4" t="str">
        <f>_xlfn.IFS(Table1[[#This Row],[Efficiency %]]&gt;=1.1, "Exceeds", Table1[[#This Row],[Efficiency %]]&gt;=0.9, "Meets", Table1[[#This Row],[Efficiency %]]&lt;0.9, "Needs Improvement")</f>
        <v>Exceeds</v>
      </c>
      <c r="N4" s="4">
        <f>Table1[[#This Row],[Actual Time (Hrs)]]*Table1[[#This Row],[Hourly Rate (INR)]]</f>
        <v>3195</v>
      </c>
      <c r="O4" s="4">
        <f>(Table1[[#This Row],[Target Time (Hrs)]]*Table1[[#This Row],[Hourly Rate (INR)]])-Table1[[#This Row],[Total Task Cost (INR)]]</f>
        <v>405</v>
      </c>
    </row>
    <row r="5" spans="1:15" ht="29.25" thickBot="1" x14ac:dyDescent="0.75">
      <c r="A5" s="3">
        <v>45957</v>
      </c>
      <c r="B5" s="4" t="s">
        <v>27</v>
      </c>
      <c r="C5" s="4" t="s">
        <v>28</v>
      </c>
      <c r="D5" s="4" t="s">
        <v>29</v>
      </c>
      <c r="E5" s="4" t="s">
        <v>30</v>
      </c>
      <c r="F5" s="4">
        <v>600</v>
      </c>
      <c r="G5" s="4">
        <v>14</v>
      </c>
      <c r="H5" s="4">
        <v>5</v>
      </c>
      <c r="I5" s="4">
        <v>4.5</v>
      </c>
      <c r="J5" s="4">
        <f>Table1[[#This Row],[Target Time (Hrs)]]-Table1[[#This Row],[Actual Time (Hrs)]]</f>
        <v>0.5</v>
      </c>
      <c r="K5" s="5">
        <f>IF(Table1[[#This Row],[Actual Time (Hrs)]]&gt;0, Table1[[#This Row],[Target Time (Hrs)]]/Table1[[#This Row],[Actual Time (Hrs)]], 0)</f>
        <v>1.1111111111111112</v>
      </c>
      <c r="L5" s="9">
        <f>IF(Table1[[#This Row],[Actual Time (Hrs)]]&gt;0, Table1[[#This Row],[Units Completed]]/Table1[[#This Row],[Actual Time (Hrs)]], 0)</f>
        <v>3.1111111111111112</v>
      </c>
      <c r="M5" s="4" t="str">
        <f>_xlfn.IFS(Table1[[#This Row],[Efficiency %]]&gt;=1.1, "Exceeds", Table1[[#This Row],[Efficiency %]]&gt;=0.9, "Meets", Table1[[#This Row],[Efficiency %]]&lt;0.9, "Needs Improvement")</f>
        <v>Exceeds</v>
      </c>
      <c r="N5" s="4">
        <f>Table1[[#This Row],[Actual Time (Hrs)]]*Table1[[#This Row],[Hourly Rate (INR)]]</f>
        <v>2700</v>
      </c>
      <c r="O5" s="4">
        <f>(Table1[[#This Row],[Target Time (Hrs)]]*Table1[[#This Row],[Hourly Rate (INR)]])-Table1[[#This Row],[Total Task Cost (INR)]]</f>
        <v>300</v>
      </c>
    </row>
    <row r="6" spans="1:15" ht="29.25" thickBot="1" x14ac:dyDescent="0.75">
      <c r="A6" s="3">
        <v>45956</v>
      </c>
      <c r="B6" s="4" t="s">
        <v>31</v>
      </c>
      <c r="C6" s="4" t="s">
        <v>32</v>
      </c>
      <c r="D6" s="4" t="s">
        <v>17</v>
      </c>
      <c r="E6" s="4" t="s">
        <v>33</v>
      </c>
      <c r="F6" s="4">
        <v>350</v>
      </c>
      <c r="G6" s="4">
        <v>15</v>
      </c>
      <c r="H6" s="4">
        <v>6</v>
      </c>
      <c r="I6" s="4">
        <v>5.4</v>
      </c>
      <c r="J6" s="4">
        <f>Table1[[#This Row],[Target Time (Hrs)]]-Table1[[#This Row],[Actual Time (Hrs)]]</f>
        <v>0.59999999999999964</v>
      </c>
      <c r="K6" s="5">
        <f>IF(Table1[[#This Row],[Actual Time (Hrs)]]&gt;0, Table1[[#This Row],[Target Time (Hrs)]]/Table1[[#This Row],[Actual Time (Hrs)]], 0)</f>
        <v>1.1111111111111109</v>
      </c>
      <c r="L6" s="9">
        <f>IF(Table1[[#This Row],[Actual Time (Hrs)]]&gt;0, Table1[[#This Row],[Units Completed]]/Table1[[#This Row],[Actual Time (Hrs)]], 0)</f>
        <v>2.7777777777777777</v>
      </c>
      <c r="M6" s="4" t="str">
        <f>_xlfn.IFS(Table1[[#This Row],[Efficiency %]]&gt;=1.1, "Exceeds", Table1[[#This Row],[Efficiency %]]&gt;=0.9, "Meets", Table1[[#This Row],[Efficiency %]]&lt;0.9, "Needs Improvement")</f>
        <v>Exceeds</v>
      </c>
      <c r="N6" s="4">
        <f>Table1[[#This Row],[Actual Time (Hrs)]]*Table1[[#This Row],[Hourly Rate (INR)]]</f>
        <v>1890.0000000000002</v>
      </c>
      <c r="O6" s="4">
        <f>(Table1[[#This Row],[Target Time (Hrs)]]*Table1[[#This Row],[Hourly Rate (INR)]])-Table1[[#This Row],[Total Task Cost (INR)]]</f>
        <v>209.99999999999977</v>
      </c>
    </row>
    <row r="7" spans="1:15" ht="29.25" thickBot="1" x14ac:dyDescent="0.75">
      <c r="A7" s="3">
        <v>45955</v>
      </c>
      <c r="B7" s="4" t="s">
        <v>34</v>
      </c>
      <c r="C7" s="4" t="s">
        <v>35</v>
      </c>
      <c r="D7" s="4" t="s">
        <v>21</v>
      </c>
      <c r="E7" s="4" t="s">
        <v>36</v>
      </c>
      <c r="F7" s="4">
        <v>550</v>
      </c>
      <c r="G7" s="4">
        <v>16</v>
      </c>
      <c r="H7" s="4">
        <v>7</v>
      </c>
      <c r="I7" s="4">
        <v>6.3</v>
      </c>
      <c r="J7" s="4">
        <f>Table1[[#This Row],[Target Time (Hrs)]]-Table1[[#This Row],[Actual Time (Hrs)]]</f>
        <v>0.70000000000000018</v>
      </c>
      <c r="K7" s="5">
        <f>IF(Table1[[#This Row],[Actual Time (Hrs)]]&gt;0, Table1[[#This Row],[Target Time (Hrs)]]/Table1[[#This Row],[Actual Time (Hrs)]], 0)</f>
        <v>1.1111111111111112</v>
      </c>
      <c r="L7" s="9">
        <f>IF(Table1[[#This Row],[Actual Time (Hrs)]]&gt;0, Table1[[#This Row],[Units Completed]]/Table1[[#This Row],[Actual Time (Hrs)]], 0)</f>
        <v>2.5396825396825395</v>
      </c>
      <c r="M7" s="4" t="str">
        <f>_xlfn.IFS(Table1[[#This Row],[Efficiency %]]&gt;=1.1, "Exceeds", Table1[[#This Row],[Efficiency %]]&gt;=0.9, "Meets", Table1[[#This Row],[Efficiency %]]&lt;0.9, "Needs Improvement")</f>
        <v>Exceeds</v>
      </c>
      <c r="N7" s="4">
        <f>Table1[[#This Row],[Actual Time (Hrs)]]*Table1[[#This Row],[Hourly Rate (INR)]]</f>
        <v>3465</v>
      </c>
      <c r="O7" s="4">
        <f>(Table1[[#This Row],[Target Time (Hrs)]]*Table1[[#This Row],[Hourly Rate (INR)]])-Table1[[#This Row],[Total Task Cost (INR)]]</f>
        <v>385</v>
      </c>
    </row>
    <row r="8" spans="1:15" ht="29.25" thickBot="1" x14ac:dyDescent="0.75">
      <c r="A8" s="3">
        <v>45954</v>
      </c>
      <c r="B8" s="4" t="s">
        <v>37</v>
      </c>
      <c r="C8" s="4" t="s">
        <v>38</v>
      </c>
      <c r="D8" s="4" t="s">
        <v>25</v>
      </c>
      <c r="E8" s="4" t="s">
        <v>39</v>
      </c>
      <c r="F8" s="4">
        <v>450</v>
      </c>
      <c r="G8" s="4">
        <v>17</v>
      </c>
      <c r="H8" s="4">
        <v>8</v>
      </c>
      <c r="I8" s="4">
        <v>7.2</v>
      </c>
      <c r="J8" s="4">
        <f>Table1[[#This Row],[Target Time (Hrs)]]-Table1[[#This Row],[Actual Time (Hrs)]]</f>
        <v>0.79999999999999982</v>
      </c>
      <c r="K8" s="5">
        <f>IF(Table1[[#This Row],[Actual Time (Hrs)]]&gt;0, Table1[[#This Row],[Target Time (Hrs)]]/Table1[[#This Row],[Actual Time (Hrs)]], 0)</f>
        <v>1.1111111111111112</v>
      </c>
      <c r="L8" s="9">
        <f>IF(Table1[[#This Row],[Actual Time (Hrs)]]&gt;0, Table1[[#This Row],[Units Completed]]/Table1[[#This Row],[Actual Time (Hrs)]], 0)</f>
        <v>2.3611111111111112</v>
      </c>
      <c r="M8" s="4" t="str">
        <f>_xlfn.IFS(Table1[[#This Row],[Efficiency %]]&gt;=1.1, "Exceeds", Table1[[#This Row],[Efficiency %]]&gt;=0.9, "Meets", Table1[[#This Row],[Efficiency %]]&lt;0.9, "Needs Improvement")</f>
        <v>Exceeds</v>
      </c>
      <c r="N8" s="4">
        <f>Table1[[#This Row],[Actual Time (Hrs)]]*Table1[[#This Row],[Hourly Rate (INR)]]</f>
        <v>3240</v>
      </c>
      <c r="O8" s="4">
        <f>(Table1[[#This Row],[Target Time (Hrs)]]*Table1[[#This Row],[Hourly Rate (INR)]])-Table1[[#This Row],[Total Task Cost (INR)]]</f>
        <v>360</v>
      </c>
    </row>
    <row r="9" spans="1:15" ht="29.25" thickBot="1" x14ac:dyDescent="0.75">
      <c r="A9" s="3">
        <v>45953</v>
      </c>
      <c r="B9" s="4" t="s">
        <v>40</v>
      </c>
      <c r="C9" s="4" t="s">
        <v>41</v>
      </c>
      <c r="D9" s="4" t="s">
        <v>29</v>
      </c>
      <c r="E9" s="4" t="s">
        <v>42</v>
      </c>
      <c r="F9" s="4">
        <v>600</v>
      </c>
      <c r="G9" s="4">
        <v>18</v>
      </c>
      <c r="H9" s="4">
        <v>5</v>
      </c>
      <c r="I9" s="4">
        <v>4.5999999999999996</v>
      </c>
      <c r="J9" s="4">
        <f>Table1[[#This Row],[Target Time (Hrs)]]-Table1[[#This Row],[Actual Time (Hrs)]]</f>
        <v>0.40000000000000036</v>
      </c>
      <c r="K9" s="5">
        <f>IF(Table1[[#This Row],[Actual Time (Hrs)]]&gt;0, Table1[[#This Row],[Target Time (Hrs)]]/Table1[[#This Row],[Actual Time (Hrs)]], 0)</f>
        <v>1.0869565217391306</v>
      </c>
      <c r="L9" s="9">
        <f>IF(Table1[[#This Row],[Actual Time (Hrs)]]&gt;0, Table1[[#This Row],[Units Completed]]/Table1[[#This Row],[Actual Time (Hrs)]], 0)</f>
        <v>3.9130434782608701</v>
      </c>
      <c r="M9" s="4" t="str">
        <f>_xlfn.IFS(Table1[[#This Row],[Efficiency %]]&gt;=1.1, "Exceeds", Table1[[#This Row],[Efficiency %]]&gt;=0.9, "Meets", Table1[[#This Row],[Efficiency %]]&lt;0.9, "Needs Improvement")</f>
        <v>Meets</v>
      </c>
      <c r="N9" s="4">
        <f>Table1[[#This Row],[Actual Time (Hrs)]]*Table1[[#This Row],[Hourly Rate (INR)]]</f>
        <v>2760</v>
      </c>
      <c r="O9" s="4">
        <f>(Table1[[#This Row],[Target Time (Hrs)]]*Table1[[#This Row],[Hourly Rate (INR)]])-Table1[[#This Row],[Total Task Cost (INR)]]</f>
        <v>240</v>
      </c>
    </row>
    <row r="10" spans="1:15" ht="29.25" thickBot="1" x14ac:dyDescent="0.75">
      <c r="A10" s="3">
        <v>45952</v>
      </c>
      <c r="B10" s="4" t="s">
        <v>43</v>
      </c>
      <c r="C10" s="4" t="s">
        <v>44</v>
      </c>
      <c r="D10" s="4" t="s">
        <v>17</v>
      </c>
      <c r="E10" s="4" t="s">
        <v>45</v>
      </c>
      <c r="F10" s="4">
        <v>350</v>
      </c>
      <c r="G10" s="4">
        <v>19</v>
      </c>
      <c r="H10" s="4">
        <v>6</v>
      </c>
      <c r="I10" s="4">
        <v>5.5</v>
      </c>
      <c r="J10" s="4">
        <f>Table1[[#This Row],[Target Time (Hrs)]]-Table1[[#This Row],[Actual Time (Hrs)]]</f>
        <v>0.5</v>
      </c>
      <c r="K10" s="5">
        <f>IF(Table1[[#This Row],[Actual Time (Hrs)]]&gt;0, Table1[[#This Row],[Target Time (Hrs)]]/Table1[[#This Row],[Actual Time (Hrs)]], 0)</f>
        <v>1.0909090909090908</v>
      </c>
      <c r="L10" s="9">
        <f>IF(Table1[[#This Row],[Actual Time (Hrs)]]&gt;0, Table1[[#This Row],[Units Completed]]/Table1[[#This Row],[Actual Time (Hrs)]], 0)</f>
        <v>3.4545454545454546</v>
      </c>
      <c r="M10" s="4" t="str">
        <f>_xlfn.IFS(Table1[[#This Row],[Efficiency %]]&gt;=1.1, "Exceeds", Table1[[#This Row],[Efficiency %]]&gt;=0.9, "Meets", Table1[[#This Row],[Efficiency %]]&lt;0.9, "Needs Improvement")</f>
        <v>Meets</v>
      </c>
      <c r="N10" s="4">
        <f>Table1[[#This Row],[Actual Time (Hrs)]]*Table1[[#This Row],[Hourly Rate (INR)]]</f>
        <v>1925</v>
      </c>
      <c r="O10" s="4">
        <f>(Table1[[#This Row],[Target Time (Hrs)]]*Table1[[#This Row],[Hourly Rate (INR)]])-Table1[[#This Row],[Total Task Cost (INR)]]</f>
        <v>175</v>
      </c>
    </row>
    <row r="11" spans="1:15" ht="29.25" thickBot="1" x14ac:dyDescent="0.75">
      <c r="A11" s="3">
        <v>45951</v>
      </c>
      <c r="B11" s="4" t="s">
        <v>46</v>
      </c>
      <c r="C11" s="4" t="s">
        <v>47</v>
      </c>
      <c r="D11" s="4" t="s">
        <v>21</v>
      </c>
      <c r="E11" s="4" t="s">
        <v>48</v>
      </c>
      <c r="F11" s="4">
        <v>550</v>
      </c>
      <c r="G11" s="4">
        <v>20</v>
      </c>
      <c r="H11" s="4">
        <v>7</v>
      </c>
      <c r="I11" s="4">
        <v>6.4</v>
      </c>
      <c r="J11" s="4">
        <f>Table1[[#This Row],[Target Time (Hrs)]]-Table1[[#This Row],[Actual Time (Hrs)]]</f>
        <v>0.59999999999999964</v>
      </c>
      <c r="K11" s="5">
        <f>IF(Table1[[#This Row],[Actual Time (Hrs)]]&gt;0, Table1[[#This Row],[Target Time (Hrs)]]/Table1[[#This Row],[Actual Time (Hrs)]], 0)</f>
        <v>1.09375</v>
      </c>
      <c r="L11" s="9">
        <f>IF(Table1[[#This Row],[Actual Time (Hrs)]]&gt;0, Table1[[#This Row],[Units Completed]]/Table1[[#This Row],[Actual Time (Hrs)]], 0)</f>
        <v>3.125</v>
      </c>
      <c r="M11" s="4" t="str">
        <f>_xlfn.IFS(Table1[[#This Row],[Efficiency %]]&gt;=1.1, "Exceeds", Table1[[#This Row],[Efficiency %]]&gt;=0.9, "Meets", Table1[[#This Row],[Efficiency %]]&lt;0.9, "Needs Improvement")</f>
        <v>Meets</v>
      </c>
      <c r="N11" s="4">
        <f>Table1[[#This Row],[Actual Time (Hrs)]]*Table1[[#This Row],[Hourly Rate (INR)]]</f>
        <v>3520</v>
      </c>
      <c r="O11" s="4">
        <f>(Table1[[#This Row],[Target Time (Hrs)]]*Table1[[#This Row],[Hourly Rate (INR)]])-Table1[[#This Row],[Total Task Cost (INR)]]</f>
        <v>330</v>
      </c>
    </row>
    <row r="12" spans="1:15" ht="29.25" thickBot="1" x14ac:dyDescent="0.75">
      <c r="A12" s="3">
        <v>45950</v>
      </c>
      <c r="B12" s="4" t="s">
        <v>49</v>
      </c>
      <c r="C12" s="4" t="s">
        <v>50</v>
      </c>
      <c r="D12" s="4" t="s">
        <v>25</v>
      </c>
      <c r="E12" s="4" t="s">
        <v>51</v>
      </c>
      <c r="F12" s="4">
        <v>450</v>
      </c>
      <c r="G12" s="4">
        <v>21</v>
      </c>
      <c r="H12" s="4">
        <v>8</v>
      </c>
      <c r="I12" s="4">
        <v>7.4</v>
      </c>
      <c r="J12" s="4">
        <f>Table1[[#This Row],[Target Time (Hrs)]]-Table1[[#This Row],[Actual Time (Hrs)]]</f>
        <v>0.59999999999999964</v>
      </c>
      <c r="K12" s="5">
        <f>IF(Table1[[#This Row],[Actual Time (Hrs)]]&gt;0, Table1[[#This Row],[Target Time (Hrs)]]/Table1[[#This Row],[Actual Time (Hrs)]], 0)</f>
        <v>1.0810810810810809</v>
      </c>
      <c r="L12" s="9">
        <f>IF(Table1[[#This Row],[Actual Time (Hrs)]]&gt;0, Table1[[#This Row],[Units Completed]]/Table1[[#This Row],[Actual Time (Hrs)]], 0)</f>
        <v>2.8378378378378377</v>
      </c>
      <c r="M12" s="4" t="str">
        <f>_xlfn.IFS(Table1[[#This Row],[Efficiency %]]&gt;=1.1, "Exceeds", Table1[[#This Row],[Efficiency %]]&gt;=0.9, "Meets", Table1[[#This Row],[Efficiency %]]&lt;0.9, "Needs Improvement")</f>
        <v>Meets</v>
      </c>
      <c r="N12" s="4">
        <f>Table1[[#This Row],[Actual Time (Hrs)]]*Table1[[#This Row],[Hourly Rate (INR)]]</f>
        <v>3330</v>
      </c>
      <c r="O12" s="4">
        <f>(Table1[[#This Row],[Target Time (Hrs)]]*Table1[[#This Row],[Hourly Rate (INR)]])-Table1[[#This Row],[Total Task Cost (INR)]]</f>
        <v>270</v>
      </c>
    </row>
    <row r="13" spans="1:15" ht="43.5" thickBot="1" x14ac:dyDescent="0.75">
      <c r="A13" s="3">
        <v>45949</v>
      </c>
      <c r="B13" s="4" t="s">
        <v>52</v>
      </c>
      <c r="C13" s="4" t="s">
        <v>53</v>
      </c>
      <c r="D13" s="4" t="s">
        <v>29</v>
      </c>
      <c r="E13" s="4" t="s">
        <v>54</v>
      </c>
      <c r="F13" s="4">
        <v>600</v>
      </c>
      <c r="G13" s="4">
        <v>22</v>
      </c>
      <c r="H13" s="4">
        <v>5</v>
      </c>
      <c r="I13" s="4">
        <v>4.7</v>
      </c>
      <c r="J13" s="4">
        <f>Table1[[#This Row],[Target Time (Hrs)]]-Table1[[#This Row],[Actual Time (Hrs)]]</f>
        <v>0.29999999999999982</v>
      </c>
      <c r="K13" s="5">
        <f>IF(Table1[[#This Row],[Actual Time (Hrs)]]&gt;0, Table1[[#This Row],[Target Time (Hrs)]]/Table1[[#This Row],[Actual Time (Hrs)]], 0)</f>
        <v>1.0638297872340425</v>
      </c>
      <c r="L13" s="9">
        <f>IF(Table1[[#This Row],[Actual Time (Hrs)]]&gt;0, Table1[[#This Row],[Units Completed]]/Table1[[#This Row],[Actual Time (Hrs)]], 0)</f>
        <v>4.6808510638297873</v>
      </c>
      <c r="M13" s="4" t="str">
        <f>_xlfn.IFS(Table1[[#This Row],[Efficiency %]]&gt;=1.1, "Exceeds", Table1[[#This Row],[Efficiency %]]&gt;=0.9, "Meets", Table1[[#This Row],[Efficiency %]]&lt;0.9, "Needs Improvement")</f>
        <v>Meets</v>
      </c>
      <c r="N13" s="4">
        <f>Table1[[#This Row],[Actual Time (Hrs)]]*Table1[[#This Row],[Hourly Rate (INR)]]</f>
        <v>2820</v>
      </c>
      <c r="O13" s="4">
        <f>(Table1[[#This Row],[Target Time (Hrs)]]*Table1[[#This Row],[Hourly Rate (INR)]])-Table1[[#This Row],[Total Task Cost (INR)]]</f>
        <v>180</v>
      </c>
    </row>
    <row r="14" spans="1:15" ht="29.25" thickBot="1" x14ac:dyDescent="0.75">
      <c r="A14" s="3">
        <v>45948</v>
      </c>
      <c r="B14" s="4" t="s">
        <v>55</v>
      </c>
      <c r="C14" s="4" t="s">
        <v>56</v>
      </c>
      <c r="D14" s="4" t="s">
        <v>17</v>
      </c>
      <c r="E14" s="4" t="s">
        <v>18</v>
      </c>
      <c r="F14" s="4">
        <v>350</v>
      </c>
      <c r="G14" s="4">
        <v>23</v>
      </c>
      <c r="H14" s="4">
        <v>6</v>
      </c>
      <c r="I14" s="4">
        <v>5.7</v>
      </c>
      <c r="J14" s="4">
        <f>Table1[[#This Row],[Target Time (Hrs)]]-Table1[[#This Row],[Actual Time (Hrs)]]</f>
        <v>0.29999999999999982</v>
      </c>
      <c r="K14" s="5">
        <f>IF(Table1[[#This Row],[Actual Time (Hrs)]]&gt;0, Table1[[#This Row],[Target Time (Hrs)]]/Table1[[#This Row],[Actual Time (Hrs)]], 0)</f>
        <v>1.0526315789473684</v>
      </c>
      <c r="L14" s="9">
        <f>IF(Table1[[#This Row],[Actual Time (Hrs)]]&gt;0, Table1[[#This Row],[Units Completed]]/Table1[[#This Row],[Actual Time (Hrs)]], 0)</f>
        <v>4.0350877192982457</v>
      </c>
      <c r="M14" s="4" t="str">
        <f>_xlfn.IFS(Table1[[#This Row],[Efficiency %]]&gt;=1.1, "Exceeds", Table1[[#This Row],[Efficiency %]]&gt;=0.9, "Meets", Table1[[#This Row],[Efficiency %]]&lt;0.9, "Needs Improvement")</f>
        <v>Meets</v>
      </c>
      <c r="N14" s="4">
        <f>Table1[[#This Row],[Actual Time (Hrs)]]*Table1[[#This Row],[Hourly Rate (INR)]]</f>
        <v>1995</v>
      </c>
      <c r="O14" s="4">
        <f>(Table1[[#This Row],[Target Time (Hrs)]]*Table1[[#This Row],[Hourly Rate (INR)]])-Table1[[#This Row],[Total Task Cost (INR)]]</f>
        <v>105</v>
      </c>
    </row>
    <row r="15" spans="1:15" ht="29.25" thickBot="1" x14ac:dyDescent="0.75">
      <c r="A15" s="3">
        <v>45947</v>
      </c>
      <c r="B15" s="4" t="s">
        <v>57</v>
      </c>
      <c r="C15" s="4" t="s">
        <v>58</v>
      </c>
      <c r="D15" s="4" t="s">
        <v>21</v>
      </c>
      <c r="E15" s="4" t="s">
        <v>22</v>
      </c>
      <c r="F15" s="4">
        <v>550</v>
      </c>
      <c r="G15" s="4">
        <v>24</v>
      </c>
      <c r="H15" s="4">
        <v>7</v>
      </c>
      <c r="I15" s="4">
        <v>6.7</v>
      </c>
      <c r="J15" s="4">
        <f>Table1[[#This Row],[Target Time (Hrs)]]-Table1[[#This Row],[Actual Time (Hrs)]]</f>
        <v>0.29999999999999982</v>
      </c>
      <c r="K15" s="5">
        <f>IF(Table1[[#This Row],[Actual Time (Hrs)]]&gt;0, Table1[[#This Row],[Target Time (Hrs)]]/Table1[[#This Row],[Actual Time (Hrs)]], 0)</f>
        <v>1.044776119402985</v>
      </c>
      <c r="L15" s="9">
        <f>IF(Table1[[#This Row],[Actual Time (Hrs)]]&gt;0, Table1[[#This Row],[Units Completed]]/Table1[[#This Row],[Actual Time (Hrs)]], 0)</f>
        <v>3.5820895522388061</v>
      </c>
      <c r="M15" s="4" t="str">
        <f>_xlfn.IFS(Table1[[#This Row],[Efficiency %]]&gt;=1.1, "Exceeds", Table1[[#This Row],[Efficiency %]]&gt;=0.9, "Meets", Table1[[#This Row],[Efficiency %]]&lt;0.9, "Needs Improvement")</f>
        <v>Meets</v>
      </c>
      <c r="N15" s="4">
        <f>Table1[[#This Row],[Actual Time (Hrs)]]*Table1[[#This Row],[Hourly Rate (INR)]]</f>
        <v>3685</v>
      </c>
      <c r="O15" s="4">
        <f>(Table1[[#This Row],[Target Time (Hrs)]]*Table1[[#This Row],[Hourly Rate (INR)]])-Table1[[#This Row],[Total Task Cost (INR)]]</f>
        <v>165</v>
      </c>
    </row>
    <row r="16" spans="1:15" ht="29.25" thickBot="1" x14ac:dyDescent="0.75">
      <c r="A16" s="3">
        <v>45946</v>
      </c>
      <c r="B16" s="4" t="s">
        <v>59</v>
      </c>
      <c r="C16" s="4" t="s">
        <v>60</v>
      </c>
      <c r="D16" s="4" t="s">
        <v>25</v>
      </c>
      <c r="E16" s="4" t="s">
        <v>26</v>
      </c>
      <c r="F16" s="4">
        <v>450</v>
      </c>
      <c r="G16" s="4">
        <v>25</v>
      </c>
      <c r="H16" s="4">
        <v>8</v>
      </c>
      <c r="I16" s="4">
        <v>7.7</v>
      </c>
      <c r="J16" s="4">
        <f>Table1[[#This Row],[Target Time (Hrs)]]-Table1[[#This Row],[Actual Time (Hrs)]]</f>
        <v>0.29999999999999982</v>
      </c>
      <c r="K16" s="5">
        <f>IF(Table1[[#This Row],[Actual Time (Hrs)]]&gt;0, Table1[[#This Row],[Target Time (Hrs)]]/Table1[[#This Row],[Actual Time (Hrs)]], 0)</f>
        <v>1.0389610389610389</v>
      </c>
      <c r="L16" s="9">
        <f>IF(Table1[[#This Row],[Actual Time (Hrs)]]&gt;0, Table1[[#This Row],[Units Completed]]/Table1[[#This Row],[Actual Time (Hrs)]], 0)</f>
        <v>3.2467532467532467</v>
      </c>
      <c r="M16" s="4" t="str">
        <f>_xlfn.IFS(Table1[[#This Row],[Efficiency %]]&gt;=1.1, "Exceeds", Table1[[#This Row],[Efficiency %]]&gt;=0.9, "Meets", Table1[[#This Row],[Efficiency %]]&lt;0.9, "Needs Improvement")</f>
        <v>Meets</v>
      </c>
      <c r="N16" s="4">
        <f>Table1[[#This Row],[Actual Time (Hrs)]]*Table1[[#This Row],[Hourly Rate (INR)]]</f>
        <v>3465</v>
      </c>
      <c r="O16" s="4">
        <f>(Table1[[#This Row],[Target Time (Hrs)]]*Table1[[#This Row],[Hourly Rate (INR)]])-Table1[[#This Row],[Total Task Cost (INR)]]</f>
        <v>135</v>
      </c>
    </row>
    <row r="17" spans="1:15" ht="29.25" thickBot="1" x14ac:dyDescent="0.75">
      <c r="A17" s="3">
        <v>45945</v>
      </c>
      <c r="B17" s="4" t="s">
        <v>61</v>
      </c>
      <c r="C17" s="4" t="s">
        <v>62</v>
      </c>
      <c r="D17" s="4" t="s">
        <v>29</v>
      </c>
      <c r="E17" s="4" t="s">
        <v>30</v>
      </c>
      <c r="F17" s="4">
        <v>600</v>
      </c>
      <c r="G17" s="4">
        <v>26</v>
      </c>
      <c r="H17" s="4">
        <v>5</v>
      </c>
      <c r="I17" s="4">
        <v>4.8</v>
      </c>
      <c r="J17" s="4">
        <f>Table1[[#This Row],[Target Time (Hrs)]]-Table1[[#This Row],[Actual Time (Hrs)]]</f>
        <v>0.20000000000000018</v>
      </c>
      <c r="K17" s="5">
        <f>IF(Table1[[#This Row],[Actual Time (Hrs)]]&gt;0, Table1[[#This Row],[Target Time (Hrs)]]/Table1[[#This Row],[Actual Time (Hrs)]], 0)</f>
        <v>1.0416666666666667</v>
      </c>
      <c r="L17" s="9">
        <f>IF(Table1[[#This Row],[Actual Time (Hrs)]]&gt;0, Table1[[#This Row],[Units Completed]]/Table1[[#This Row],[Actual Time (Hrs)]], 0)</f>
        <v>5.416666666666667</v>
      </c>
      <c r="M17" s="4" t="str">
        <f>_xlfn.IFS(Table1[[#This Row],[Efficiency %]]&gt;=1.1, "Exceeds", Table1[[#This Row],[Efficiency %]]&gt;=0.9, "Meets", Table1[[#This Row],[Efficiency %]]&lt;0.9, "Needs Improvement")</f>
        <v>Meets</v>
      </c>
      <c r="N17" s="4">
        <f>Table1[[#This Row],[Actual Time (Hrs)]]*Table1[[#This Row],[Hourly Rate (INR)]]</f>
        <v>2880</v>
      </c>
      <c r="O17" s="4">
        <f>(Table1[[#This Row],[Target Time (Hrs)]]*Table1[[#This Row],[Hourly Rate (INR)]])-Table1[[#This Row],[Total Task Cost (INR)]]</f>
        <v>120</v>
      </c>
    </row>
    <row r="18" spans="1:15" ht="29.25" thickBot="1" x14ac:dyDescent="0.75">
      <c r="A18" s="3">
        <v>45944</v>
      </c>
      <c r="B18" s="4" t="s">
        <v>63</v>
      </c>
      <c r="C18" s="4" t="s">
        <v>64</v>
      </c>
      <c r="D18" s="4" t="s">
        <v>17</v>
      </c>
      <c r="E18" s="4" t="s">
        <v>33</v>
      </c>
      <c r="F18" s="4">
        <v>350</v>
      </c>
      <c r="G18" s="4">
        <v>27</v>
      </c>
      <c r="H18" s="4">
        <v>6</v>
      </c>
      <c r="I18" s="4">
        <v>5.8</v>
      </c>
      <c r="J18" s="4">
        <f>Table1[[#This Row],[Target Time (Hrs)]]-Table1[[#This Row],[Actual Time (Hrs)]]</f>
        <v>0.20000000000000018</v>
      </c>
      <c r="K18" s="5">
        <f>IF(Table1[[#This Row],[Actual Time (Hrs)]]&gt;0, Table1[[#This Row],[Target Time (Hrs)]]/Table1[[#This Row],[Actual Time (Hrs)]], 0)</f>
        <v>1.0344827586206897</v>
      </c>
      <c r="L18" s="9">
        <f>IF(Table1[[#This Row],[Actual Time (Hrs)]]&gt;0, Table1[[#This Row],[Units Completed]]/Table1[[#This Row],[Actual Time (Hrs)]], 0)</f>
        <v>4.6551724137931032</v>
      </c>
      <c r="M18" s="4" t="str">
        <f>_xlfn.IFS(Table1[[#This Row],[Efficiency %]]&gt;=1.1, "Exceeds", Table1[[#This Row],[Efficiency %]]&gt;=0.9, "Meets", Table1[[#This Row],[Efficiency %]]&lt;0.9, "Needs Improvement")</f>
        <v>Meets</v>
      </c>
      <c r="N18" s="4">
        <f>Table1[[#This Row],[Actual Time (Hrs)]]*Table1[[#This Row],[Hourly Rate (INR)]]</f>
        <v>2030</v>
      </c>
      <c r="O18" s="4">
        <f>(Table1[[#This Row],[Target Time (Hrs)]]*Table1[[#This Row],[Hourly Rate (INR)]])-Table1[[#This Row],[Total Task Cost (INR)]]</f>
        <v>70</v>
      </c>
    </row>
    <row r="19" spans="1:15" ht="29.25" thickBot="1" x14ac:dyDescent="0.75">
      <c r="A19" s="3">
        <v>45943</v>
      </c>
      <c r="B19" s="4" t="s">
        <v>65</v>
      </c>
      <c r="C19" s="4" t="s">
        <v>66</v>
      </c>
      <c r="D19" s="4" t="s">
        <v>21</v>
      </c>
      <c r="E19" s="4" t="s">
        <v>36</v>
      </c>
      <c r="F19" s="4">
        <v>550</v>
      </c>
      <c r="G19" s="4">
        <v>28</v>
      </c>
      <c r="H19" s="4">
        <v>7</v>
      </c>
      <c r="I19" s="4">
        <v>6.8</v>
      </c>
      <c r="J19" s="4">
        <f>Table1[[#This Row],[Target Time (Hrs)]]-Table1[[#This Row],[Actual Time (Hrs)]]</f>
        <v>0.20000000000000018</v>
      </c>
      <c r="K19" s="5">
        <f>IF(Table1[[#This Row],[Actual Time (Hrs)]]&gt;0, Table1[[#This Row],[Target Time (Hrs)]]/Table1[[#This Row],[Actual Time (Hrs)]], 0)</f>
        <v>1.0294117647058825</v>
      </c>
      <c r="L19" s="9">
        <f>IF(Table1[[#This Row],[Actual Time (Hrs)]]&gt;0, Table1[[#This Row],[Units Completed]]/Table1[[#This Row],[Actual Time (Hrs)]], 0)</f>
        <v>4.1176470588235299</v>
      </c>
      <c r="M19" s="4" t="str">
        <f>_xlfn.IFS(Table1[[#This Row],[Efficiency %]]&gt;=1.1, "Exceeds", Table1[[#This Row],[Efficiency %]]&gt;=0.9, "Meets", Table1[[#This Row],[Efficiency %]]&lt;0.9, "Needs Improvement")</f>
        <v>Meets</v>
      </c>
      <c r="N19" s="4">
        <f>Table1[[#This Row],[Actual Time (Hrs)]]*Table1[[#This Row],[Hourly Rate (INR)]]</f>
        <v>3740</v>
      </c>
      <c r="O19" s="4">
        <f>(Table1[[#This Row],[Target Time (Hrs)]]*Table1[[#This Row],[Hourly Rate (INR)]])-Table1[[#This Row],[Total Task Cost (INR)]]</f>
        <v>110</v>
      </c>
    </row>
    <row r="20" spans="1:15" ht="29.25" thickBot="1" x14ac:dyDescent="0.75">
      <c r="A20" s="3">
        <v>45942</v>
      </c>
      <c r="B20" s="4" t="s">
        <v>67</v>
      </c>
      <c r="C20" s="4" t="s">
        <v>68</v>
      </c>
      <c r="D20" s="4" t="s">
        <v>25</v>
      </c>
      <c r="E20" s="4" t="s">
        <v>39</v>
      </c>
      <c r="F20" s="4">
        <v>450</v>
      </c>
      <c r="G20" s="4">
        <v>29</v>
      </c>
      <c r="H20" s="4">
        <v>8</v>
      </c>
      <c r="I20" s="4">
        <v>7.8</v>
      </c>
      <c r="J20" s="4">
        <f>Table1[[#This Row],[Target Time (Hrs)]]-Table1[[#This Row],[Actual Time (Hrs)]]</f>
        <v>0.20000000000000018</v>
      </c>
      <c r="K20" s="5">
        <f>IF(Table1[[#This Row],[Actual Time (Hrs)]]&gt;0, Table1[[#This Row],[Target Time (Hrs)]]/Table1[[#This Row],[Actual Time (Hrs)]], 0)</f>
        <v>1.0256410256410258</v>
      </c>
      <c r="L20" s="9">
        <f>IF(Table1[[#This Row],[Actual Time (Hrs)]]&gt;0, Table1[[#This Row],[Units Completed]]/Table1[[#This Row],[Actual Time (Hrs)]], 0)</f>
        <v>3.7179487179487181</v>
      </c>
      <c r="M20" s="4" t="str">
        <f>_xlfn.IFS(Table1[[#This Row],[Efficiency %]]&gt;=1.1, "Exceeds", Table1[[#This Row],[Efficiency %]]&gt;=0.9, "Meets", Table1[[#This Row],[Efficiency %]]&lt;0.9, "Needs Improvement")</f>
        <v>Meets</v>
      </c>
      <c r="N20" s="4">
        <f>Table1[[#This Row],[Actual Time (Hrs)]]*Table1[[#This Row],[Hourly Rate (INR)]]</f>
        <v>3510</v>
      </c>
      <c r="O20" s="4">
        <f>(Table1[[#This Row],[Target Time (Hrs)]]*Table1[[#This Row],[Hourly Rate (INR)]])-Table1[[#This Row],[Total Task Cost (INR)]]</f>
        <v>90</v>
      </c>
    </row>
    <row r="21" spans="1:15" ht="29.25" thickBot="1" x14ac:dyDescent="0.75">
      <c r="A21" s="3">
        <v>45941</v>
      </c>
      <c r="B21" s="4" t="s">
        <v>69</v>
      </c>
      <c r="C21" s="4" t="s">
        <v>70</v>
      </c>
      <c r="D21" s="4" t="s">
        <v>29</v>
      </c>
      <c r="E21" s="4" t="s">
        <v>42</v>
      </c>
      <c r="F21" s="4">
        <v>600</v>
      </c>
      <c r="G21" s="4">
        <v>30</v>
      </c>
      <c r="H21" s="4">
        <v>5</v>
      </c>
      <c r="I21" s="4">
        <v>4.9000000000000004</v>
      </c>
      <c r="J21" s="4">
        <f>Table1[[#This Row],[Target Time (Hrs)]]-Table1[[#This Row],[Actual Time (Hrs)]]</f>
        <v>9.9999999999999645E-2</v>
      </c>
      <c r="K21" s="5">
        <f>IF(Table1[[#This Row],[Actual Time (Hrs)]]&gt;0, Table1[[#This Row],[Target Time (Hrs)]]/Table1[[#This Row],[Actual Time (Hrs)]], 0)</f>
        <v>1.0204081632653061</v>
      </c>
      <c r="L21" s="9">
        <f>IF(Table1[[#This Row],[Actual Time (Hrs)]]&gt;0, Table1[[#This Row],[Units Completed]]/Table1[[#This Row],[Actual Time (Hrs)]], 0)</f>
        <v>6.1224489795918364</v>
      </c>
      <c r="M21" s="4" t="str">
        <f>_xlfn.IFS(Table1[[#This Row],[Efficiency %]]&gt;=1.1, "Exceeds", Table1[[#This Row],[Efficiency %]]&gt;=0.9, "Meets", Table1[[#This Row],[Efficiency %]]&lt;0.9, "Needs Improvement")</f>
        <v>Meets</v>
      </c>
      <c r="N21" s="4">
        <f>Table1[[#This Row],[Actual Time (Hrs)]]*Table1[[#This Row],[Hourly Rate (INR)]]</f>
        <v>2940</v>
      </c>
      <c r="O21" s="4">
        <f>(Table1[[#This Row],[Target Time (Hrs)]]*Table1[[#This Row],[Hourly Rate (INR)]])-Table1[[#This Row],[Total Task Cost (INR)]]</f>
        <v>60</v>
      </c>
    </row>
    <row r="22" spans="1:15" ht="29.25" thickBot="1" x14ac:dyDescent="0.75">
      <c r="A22" s="3">
        <v>45940</v>
      </c>
      <c r="B22" s="4" t="s">
        <v>71</v>
      </c>
      <c r="C22" s="4" t="s">
        <v>16</v>
      </c>
      <c r="D22" s="4" t="s">
        <v>17</v>
      </c>
      <c r="E22" s="4" t="s">
        <v>45</v>
      </c>
      <c r="F22" s="4">
        <v>350</v>
      </c>
      <c r="G22" s="4">
        <v>31</v>
      </c>
      <c r="H22" s="4">
        <v>6</v>
      </c>
      <c r="I22" s="4">
        <v>5.9</v>
      </c>
      <c r="J22" s="4">
        <f>Table1[[#This Row],[Target Time (Hrs)]]-Table1[[#This Row],[Actual Time (Hrs)]]</f>
        <v>9.9999999999999645E-2</v>
      </c>
      <c r="K22" s="5">
        <f>IF(Table1[[#This Row],[Actual Time (Hrs)]]&gt;0, Table1[[#This Row],[Target Time (Hrs)]]/Table1[[#This Row],[Actual Time (Hrs)]], 0)</f>
        <v>1.0169491525423728</v>
      </c>
      <c r="L22" s="9">
        <f>IF(Table1[[#This Row],[Actual Time (Hrs)]]&gt;0, Table1[[#This Row],[Units Completed]]/Table1[[#This Row],[Actual Time (Hrs)]], 0)</f>
        <v>5.2542372881355925</v>
      </c>
      <c r="M22" s="4" t="str">
        <f>_xlfn.IFS(Table1[[#This Row],[Efficiency %]]&gt;=1.1, "Exceeds", Table1[[#This Row],[Efficiency %]]&gt;=0.9, "Meets", Table1[[#This Row],[Efficiency %]]&lt;0.9, "Needs Improvement")</f>
        <v>Meets</v>
      </c>
      <c r="N22" s="4">
        <f>Table1[[#This Row],[Actual Time (Hrs)]]*Table1[[#This Row],[Hourly Rate (INR)]]</f>
        <v>2065</v>
      </c>
      <c r="O22" s="4">
        <f>(Table1[[#This Row],[Target Time (Hrs)]]*Table1[[#This Row],[Hourly Rate (INR)]])-Table1[[#This Row],[Total Task Cost (INR)]]</f>
        <v>35</v>
      </c>
    </row>
    <row r="23" spans="1:15" ht="29.25" thickBot="1" x14ac:dyDescent="0.75">
      <c r="A23" s="3">
        <v>45939</v>
      </c>
      <c r="B23" s="4" t="s">
        <v>72</v>
      </c>
      <c r="C23" s="4" t="s">
        <v>20</v>
      </c>
      <c r="D23" s="4" t="s">
        <v>21</v>
      </c>
      <c r="E23" s="4" t="s">
        <v>48</v>
      </c>
      <c r="F23" s="4">
        <v>550</v>
      </c>
      <c r="G23" s="4">
        <v>32</v>
      </c>
      <c r="H23" s="4">
        <v>7</v>
      </c>
      <c r="I23" s="4">
        <v>6.9</v>
      </c>
      <c r="J23" s="4">
        <f>Table1[[#This Row],[Target Time (Hrs)]]-Table1[[#This Row],[Actual Time (Hrs)]]</f>
        <v>9.9999999999999645E-2</v>
      </c>
      <c r="K23" s="5">
        <f>IF(Table1[[#This Row],[Actual Time (Hrs)]]&gt;0, Table1[[#This Row],[Target Time (Hrs)]]/Table1[[#This Row],[Actual Time (Hrs)]], 0)</f>
        <v>1.0144927536231882</v>
      </c>
      <c r="L23" s="9">
        <f>IF(Table1[[#This Row],[Actual Time (Hrs)]]&gt;0, Table1[[#This Row],[Units Completed]]/Table1[[#This Row],[Actual Time (Hrs)]], 0)</f>
        <v>4.63768115942029</v>
      </c>
      <c r="M23" s="4" t="str">
        <f>_xlfn.IFS(Table1[[#This Row],[Efficiency %]]&gt;=1.1, "Exceeds", Table1[[#This Row],[Efficiency %]]&gt;=0.9, "Meets", Table1[[#This Row],[Efficiency %]]&lt;0.9, "Needs Improvement")</f>
        <v>Meets</v>
      </c>
      <c r="N23" s="4">
        <f>Table1[[#This Row],[Actual Time (Hrs)]]*Table1[[#This Row],[Hourly Rate (INR)]]</f>
        <v>3795</v>
      </c>
      <c r="O23" s="4">
        <f>(Table1[[#This Row],[Target Time (Hrs)]]*Table1[[#This Row],[Hourly Rate (INR)]])-Table1[[#This Row],[Total Task Cost (INR)]]</f>
        <v>55</v>
      </c>
    </row>
    <row r="24" spans="1:15" ht="29.25" thickBot="1" x14ac:dyDescent="0.75">
      <c r="A24" s="3">
        <v>45938</v>
      </c>
      <c r="B24" s="4" t="s">
        <v>73</v>
      </c>
      <c r="C24" s="4" t="s">
        <v>24</v>
      </c>
      <c r="D24" s="4" t="s">
        <v>25</v>
      </c>
      <c r="E24" s="4" t="s">
        <v>51</v>
      </c>
      <c r="F24" s="4">
        <v>450</v>
      </c>
      <c r="G24" s="4">
        <v>33</v>
      </c>
      <c r="H24" s="4">
        <v>8</v>
      </c>
      <c r="I24" s="4">
        <v>7.9</v>
      </c>
      <c r="J24" s="4">
        <f>Table1[[#This Row],[Target Time (Hrs)]]-Table1[[#This Row],[Actual Time (Hrs)]]</f>
        <v>9.9999999999999645E-2</v>
      </c>
      <c r="K24" s="5">
        <f>IF(Table1[[#This Row],[Actual Time (Hrs)]]&gt;0, Table1[[#This Row],[Target Time (Hrs)]]/Table1[[#This Row],[Actual Time (Hrs)]], 0)</f>
        <v>1.0126582278481011</v>
      </c>
      <c r="L24" s="9">
        <f>IF(Table1[[#This Row],[Actual Time (Hrs)]]&gt;0, Table1[[#This Row],[Units Completed]]/Table1[[#This Row],[Actual Time (Hrs)]], 0)</f>
        <v>4.1772151898734178</v>
      </c>
      <c r="M24" s="4" t="str">
        <f>_xlfn.IFS(Table1[[#This Row],[Efficiency %]]&gt;=1.1, "Exceeds", Table1[[#This Row],[Efficiency %]]&gt;=0.9, "Meets", Table1[[#This Row],[Efficiency %]]&lt;0.9, "Needs Improvement")</f>
        <v>Meets</v>
      </c>
      <c r="N24" s="4">
        <f>Table1[[#This Row],[Actual Time (Hrs)]]*Table1[[#This Row],[Hourly Rate (INR)]]</f>
        <v>3555</v>
      </c>
      <c r="O24" s="4">
        <f>(Table1[[#This Row],[Target Time (Hrs)]]*Table1[[#This Row],[Hourly Rate (INR)]])-Table1[[#This Row],[Total Task Cost (INR)]]</f>
        <v>45</v>
      </c>
    </row>
    <row r="25" spans="1:15" ht="43.5" thickBot="1" x14ac:dyDescent="0.75">
      <c r="A25" s="3">
        <v>45937</v>
      </c>
      <c r="B25" s="4" t="s">
        <v>74</v>
      </c>
      <c r="C25" s="4" t="s">
        <v>28</v>
      </c>
      <c r="D25" s="4" t="s">
        <v>29</v>
      </c>
      <c r="E25" s="4" t="s">
        <v>54</v>
      </c>
      <c r="F25" s="4">
        <v>600</v>
      </c>
      <c r="G25" s="4">
        <v>34</v>
      </c>
      <c r="H25" s="4">
        <v>5</v>
      </c>
      <c r="I25" s="4">
        <v>5</v>
      </c>
      <c r="J25" s="4">
        <f>Table1[[#This Row],[Target Time (Hrs)]]-Table1[[#This Row],[Actual Time (Hrs)]]</f>
        <v>0</v>
      </c>
      <c r="K25" s="5">
        <f>IF(Table1[[#This Row],[Actual Time (Hrs)]]&gt;0, Table1[[#This Row],[Target Time (Hrs)]]/Table1[[#This Row],[Actual Time (Hrs)]], 0)</f>
        <v>1</v>
      </c>
      <c r="L25" s="9">
        <f>IF(Table1[[#This Row],[Actual Time (Hrs)]]&gt;0, Table1[[#This Row],[Units Completed]]/Table1[[#This Row],[Actual Time (Hrs)]], 0)</f>
        <v>6.8</v>
      </c>
      <c r="M25" s="4" t="str">
        <f>_xlfn.IFS(Table1[[#This Row],[Efficiency %]]&gt;=1.1, "Exceeds", Table1[[#This Row],[Efficiency %]]&gt;=0.9, "Meets", Table1[[#This Row],[Efficiency %]]&lt;0.9, "Needs Improvement")</f>
        <v>Meets</v>
      </c>
      <c r="N25" s="4">
        <f>Table1[[#This Row],[Actual Time (Hrs)]]*Table1[[#This Row],[Hourly Rate (INR)]]</f>
        <v>3000</v>
      </c>
      <c r="O25" s="4">
        <f>(Table1[[#This Row],[Target Time (Hrs)]]*Table1[[#This Row],[Hourly Rate (INR)]])-Table1[[#This Row],[Total Task Cost (INR)]]</f>
        <v>0</v>
      </c>
    </row>
    <row r="26" spans="1:15" ht="29.25" thickBot="1" x14ac:dyDescent="0.75">
      <c r="A26" s="3">
        <v>45936</v>
      </c>
      <c r="B26" s="4" t="s">
        <v>75</v>
      </c>
      <c r="C26" s="4" t="s">
        <v>32</v>
      </c>
      <c r="D26" s="4" t="s">
        <v>17</v>
      </c>
      <c r="E26" s="4" t="s">
        <v>18</v>
      </c>
      <c r="F26" s="4">
        <v>350</v>
      </c>
      <c r="G26" s="4">
        <v>35</v>
      </c>
      <c r="H26" s="4">
        <v>6</v>
      </c>
      <c r="I26" s="4">
        <v>6</v>
      </c>
      <c r="J26" s="4">
        <f>Table1[[#This Row],[Target Time (Hrs)]]-Table1[[#This Row],[Actual Time (Hrs)]]</f>
        <v>0</v>
      </c>
      <c r="K26" s="5">
        <f>IF(Table1[[#This Row],[Actual Time (Hrs)]]&gt;0, Table1[[#This Row],[Target Time (Hrs)]]/Table1[[#This Row],[Actual Time (Hrs)]], 0)</f>
        <v>1</v>
      </c>
      <c r="L26" s="9">
        <f>IF(Table1[[#This Row],[Actual Time (Hrs)]]&gt;0, Table1[[#This Row],[Units Completed]]/Table1[[#This Row],[Actual Time (Hrs)]], 0)</f>
        <v>5.833333333333333</v>
      </c>
      <c r="M26" s="4" t="str">
        <f>_xlfn.IFS(Table1[[#This Row],[Efficiency %]]&gt;=1.1, "Exceeds", Table1[[#This Row],[Efficiency %]]&gt;=0.9, "Meets", Table1[[#This Row],[Efficiency %]]&lt;0.9, "Needs Improvement")</f>
        <v>Meets</v>
      </c>
      <c r="N26" s="4">
        <f>Table1[[#This Row],[Actual Time (Hrs)]]*Table1[[#This Row],[Hourly Rate (INR)]]</f>
        <v>2100</v>
      </c>
      <c r="O26" s="4">
        <f>(Table1[[#This Row],[Target Time (Hrs)]]*Table1[[#This Row],[Hourly Rate (INR)]])-Table1[[#This Row],[Total Task Cost (INR)]]</f>
        <v>0</v>
      </c>
    </row>
    <row r="27" spans="1:15" ht="29.25" thickBot="1" x14ac:dyDescent="0.75">
      <c r="A27" s="3">
        <v>45935</v>
      </c>
      <c r="B27" s="4" t="s">
        <v>76</v>
      </c>
      <c r="C27" s="4" t="s">
        <v>35</v>
      </c>
      <c r="D27" s="4" t="s">
        <v>21</v>
      </c>
      <c r="E27" s="4" t="s">
        <v>22</v>
      </c>
      <c r="F27" s="4">
        <v>550</v>
      </c>
      <c r="G27" s="4">
        <v>36</v>
      </c>
      <c r="H27" s="4">
        <v>7</v>
      </c>
      <c r="I27" s="4">
        <v>7</v>
      </c>
      <c r="J27" s="4">
        <f>Table1[[#This Row],[Target Time (Hrs)]]-Table1[[#This Row],[Actual Time (Hrs)]]</f>
        <v>0</v>
      </c>
      <c r="K27" s="5">
        <f>IF(Table1[[#This Row],[Actual Time (Hrs)]]&gt;0, Table1[[#This Row],[Target Time (Hrs)]]/Table1[[#This Row],[Actual Time (Hrs)]], 0)</f>
        <v>1</v>
      </c>
      <c r="L27" s="9">
        <f>IF(Table1[[#This Row],[Actual Time (Hrs)]]&gt;0, Table1[[#This Row],[Units Completed]]/Table1[[#This Row],[Actual Time (Hrs)]], 0)</f>
        <v>5.1428571428571432</v>
      </c>
      <c r="M27" s="4" t="str">
        <f>_xlfn.IFS(Table1[[#This Row],[Efficiency %]]&gt;=1.1, "Exceeds", Table1[[#This Row],[Efficiency %]]&gt;=0.9, "Meets", Table1[[#This Row],[Efficiency %]]&lt;0.9, "Needs Improvement")</f>
        <v>Meets</v>
      </c>
      <c r="N27" s="4">
        <f>Table1[[#This Row],[Actual Time (Hrs)]]*Table1[[#This Row],[Hourly Rate (INR)]]</f>
        <v>3850</v>
      </c>
      <c r="O27" s="4">
        <f>(Table1[[#This Row],[Target Time (Hrs)]]*Table1[[#This Row],[Hourly Rate (INR)]])-Table1[[#This Row],[Total Task Cost (INR)]]</f>
        <v>0</v>
      </c>
    </row>
    <row r="28" spans="1:15" ht="29.25" thickBot="1" x14ac:dyDescent="0.75">
      <c r="A28" s="3">
        <v>45934</v>
      </c>
      <c r="B28" s="4" t="s">
        <v>77</v>
      </c>
      <c r="C28" s="4" t="s">
        <v>38</v>
      </c>
      <c r="D28" s="4" t="s">
        <v>25</v>
      </c>
      <c r="E28" s="4" t="s">
        <v>26</v>
      </c>
      <c r="F28" s="4">
        <v>450</v>
      </c>
      <c r="G28" s="4">
        <v>37</v>
      </c>
      <c r="H28" s="4">
        <v>8</v>
      </c>
      <c r="I28" s="4">
        <v>8</v>
      </c>
      <c r="J28" s="4">
        <f>Table1[[#This Row],[Target Time (Hrs)]]-Table1[[#This Row],[Actual Time (Hrs)]]</f>
        <v>0</v>
      </c>
      <c r="K28" s="5">
        <f>IF(Table1[[#This Row],[Actual Time (Hrs)]]&gt;0, Table1[[#This Row],[Target Time (Hrs)]]/Table1[[#This Row],[Actual Time (Hrs)]], 0)</f>
        <v>1</v>
      </c>
      <c r="L28" s="9">
        <f>IF(Table1[[#This Row],[Actual Time (Hrs)]]&gt;0, Table1[[#This Row],[Units Completed]]/Table1[[#This Row],[Actual Time (Hrs)]], 0)</f>
        <v>4.625</v>
      </c>
      <c r="M28" s="4" t="str">
        <f>_xlfn.IFS(Table1[[#This Row],[Efficiency %]]&gt;=1.1, "Exceeds", Table1[[#This Row],[Efficiency %]]&gt;=0.9, "Meets", Table1[[#This Row],[Efficiency %]]&lt;0.9, "Needs Improvement")</f>
        <v>Meets</v>
      </c>
      <c r="N28" s="4">
        <f>Table1[[#This Row],[Actual Time (Hrs)]]*Table1[[#This Row],[Hourly Rate (INR)]]</f>
        <v>3600</v>
      </c>
      <c r="O28" s="4">
        <f>(Table1[[#This Row],[Target Time (Hrs)]]*Table1[[#This Row],[Hourly Rate (INR)]])-Table1[[#This Row],[Total Task Cost (INR)]]</f>
        <v>0</v>
      </c>
    </row>
    <row r="29" spans="1:15" ht="29.25" thickBot="1" x14ac:dyDescent="0.75">
      <c r="A29" s="3">
        <v>45933</v>
      </c>
      <c r="B29" s="4" t="s">
        <v>78</v>
      </c>
      <c r="C29" s="4" t="s">
        <v>41</v>
      </c>
      <c r="D29" s="4" t="s">
        <v>29</v>
      </c>
      <c r="E29" s="4" t="s">
        <v>30</v>
      </c>
      <c r="F29" s="4">
        <v>600</v>
      </c>
      <c r="G29" s="4">
        <v>38</v>
      </c>
      <c r="H29" s="4">
        <v>5</v>
      </c>
      <c r="I29" s="4">
        <v>5.0999999999999996</v>
      </c>
      <c r="J29" s="4">
        <f>Table1[[#This Row],[Target Time (Hrs)]]-Table1[[#This Row],[Actual Time (Hrs)]]</f>
        <v>-9.9999999999999645E-2</v>
      </c>
      <c r="K29" s="5">
        <f>IF(Table1[[#This Row],[Actual Time (Hrs)]]&gt;0, Table1[[#This Row],[Target Time (Hrs)]]/Table1[[#This Row],[Actual Time (Hrs)]], 0)</f>
        <v>0.98039215686274517</v>
      </c>
      <c r="L29" s="9">
        <f>IF(Table1[[#This Row],[Actual Time (Hrs)]]&gt;0, Table1[[#This Row],[Units Completed]]/Table1[[#This Row],[Actual Time (Hrs)]], 0)</f>
        <v>7.4509803921568629</v>
      </c>
      <c r="M29" s="4" t="str">
        <f>_xlfn.IFS(Table1[[#This Row],[Efficiency %]]&gt;=1.1, "Exceeds", Table1[[#This Row],[Efficiency %]]&gt;=0.9, "Meets", Table1[[#This Row],[Efficiency %]]&lt;0.9, "Needs Improvement")</f>
        <v>Meets</v>
      </c>
      <c r="N29" s="4">
        <f>Table1[[#This Row],[Actual Time (Hrs)]]*Table1[[#This Row],[Hourly Rate (INR)]]</f>
        <v>3060</v>
      </c>
      <c r="O29" s="4">
        <f>(Table1[[#This Row],[Target Time (Hrs)]]*Table1[[#This Row],[Hourly Rate (INR)]])-Table1[[#This Row],[Total Task Cost (INR)]]</f>
        <v>-60</v>
      </c>
    </row>
    <row r="30" spans="1:15" ht="29.25" thickBot="1" x14ac:dyDescent="0.75">
      <c r="A30" s="3">
        <v>45932</v>
      </c>
      <c r="B30" s="4" t="s">
        <v>79</v>
      </c>
      <c r="C30" s="4" t="s">
        <v>44</v>
      </c>
      <c r="D30" s="4" t="s">
        <v>17</v>
      </c>
      <c r="E30" s="4" t="s">
        <v>33</v>
      </c>
      <c r="F30" s="4">
        <v>350</v>
      </c>
      <c r="G30" s="4">
        <v>39</v>
      </c>
      <c r="H30" s="4">
        <v>6</v>
      </c>
      <c r="I30" s="4">
        <v>6.1</v>
      </c>
      <c r="J30" s="4">
        <f>Table1[[#This Row],[Target Time (Hrs)]]-Table1[[#This Row],[Actual Time (Hrs)]]</f>
        <v>-9.9999999999999645E-2</v>
      </c>
      <c r="K30" s="5">
        <f>IF(Table1[[#This Row],[Actual Time (Hrs)]]&gt;0, Table1[[#This Row],[Target Time (Hrs)]]/Table1[[#This Row],[Actual Time (Hrs)]], 0)</f>
        <v>0.98360655737704927</v>
      </c>
      <c r="L30" s="9">
        <f>IF(Table1[[#This Row],[Actual Time (Hrs)]]&gt;0, Table1[[#This Row],[Units Completed]]/Table1[[#This Row],[Actual Time (Hrs)]], 0)</f>
        <v>6.3934426229508201</v>
      </c>
      <c r="M30" s="4" t="str">
        <f>_xlfn.IFS(Table1[[#This Row],[Efficiency %]]&gt;=1.1, "Exceeds", Table1[[#This Row],[Efficiency %]]&gt;=0.9, "Meets", Table1[[#This Row],[Efficiency %]]&lt;0.9, "Needs Improvement")</f>
        <v>Meets</v>
      </c>
      <c r="N30" s="4">
        <f>Table1[[#This Row],[Actual Time (Hrs)]]*Table1[[#This Row],[Hourly Rate (INR)]]</f>
        <v>2135</v>
      </c>
      <c r="O30" s="4">
        <f>(Table1[[#This Row],[Target Time (Hrs)]]*Table1[[#This Row],[Hourly Rate (INR)]])-Table1[[#This Row],[Total Task Cost (INR)]]</f>
        <v>-35</v>
      </c>
    </row>
    <row r="31" spans="1:15" ht="29.25" thickBot="1" x14ac:dyDescent="0.75">
      <c r="A31" s="3">
        <v>45931</v>
      </c>
      <c r="B31" s="4" t="s">
        <v>80</v>
      </c>
      <c r="C31" s="4" t="s">
        <v>47</v>
      </c>
      <c r="D31" s="4" t="s">
        <v>21</v>
      </c>
      <c r="E31" s="4" t="s">
        <v>36</v>
      </c>
      <c r="F31" s="4">
        <v>550</v>
      </c>
      <c r="G31" s="4">
        <v>40</v>
      </c>
      <c r="H31" s="4">
        <v>7</v>
      </c>
      <c r="I31" s="4">
        <v>7.1</v>
      </c>
      <c r="J31" s="4">
        <f>Table1[[#This Row],[Target Time (Hrs)]]-Table1[[#This Row],[Actual Time (Hrs)]]</f>
        <v>-9.9999999999999645E-2</v>
      </c>
      <c r="K31" s="5">
        <f>IF(Table1[[#This Row],[Actual Time (Hrs)]]&gt;0, Table1[[#This Row],[Target Time (Hrs)]]/Table1[[#This Row],[Actual Time (Hrs)]], 0)</f>
        <v>0.9859154929577465</v>
      </c>
      <c r="L31" s="9">
        <f>IF(Table1[[#This Row],[Actual Time (Hrs)]]&gt;0, Table1[[#This Row],[Units Completed]]/Table1[[#This Row],[Actual Time (Hrs)]], 0)</f>
        <v>5.6338028169014089</v>
      </c>
      <c r="M31" s="4" t="str">
        <f>_xlfn.IFS(Table1[[#This Row],[Efficiency %]]&gt;=1.1, "Exceeds", Table1[[#This Row],[Efficiency %]]&gt;=0.9, "Meets", Table1[[#This Row],[Efficiency %]]&lt;0.9, "Needs Improvement")</f>
        <v>Meets</v>
      </c>
      <c r="N31" s="4">
        <f>Table1[[#This Row],[Actual Time (Hrs)]]*Table1[[#This Row],[Hourly Rate (INR)]]</f>
        <v>3905</v>
      </c>
      <c r="O31" s="4">
        <f>(Table1[[#This Row],[Target Time (Hrs)]]*Table1[[#This Row],[Hourly Rate (INR)]])-Table1[[#This Row],[Total Task Cost (INR)]]</f>
        <v>-55</v>
      </c>
    </row>
    <row r="32" spans="1:15" ht="29.25" thickBot="1" x14ac:dyDescent="0.75">
      <c r="A32" s="3">
        <v>45961</v>
      </c>
      <c r="B32" s="4" t="s">
        <v>81</v>
      </c>
      <c r="C32" s="4" t="s">
        <v>50</v>
      </c>
      <c r="D32" s="4" t="s">
        <v>25</v>
      </c>
      <c r="E32" s="4" t="s">
        <v>39</v>
      </c>
      <c r="F32" s="4">
        <v>450</v>
      </c>
      <c r="G32" s="4">
        <v>41</v>
      </c>
      <c r="H32" s="4">
        <v>8</v>
      </c>
      <c r="I32" s="4">
        <v>8.1</v>
      </c>
      <c r="J32" s="4">
        <f>Table1[[#This Row],[Target Time (Hrs)]]-Table1[[#This Row],[Actual Time (Hrs)]]</f>
        <v>-9.9999999999999645E-2</v>
      </c>
      <c r="K32" s="5">
        <f>IF(Table1[[#This Row],[Actual Time (Hrs)]]&gt;0, Table1[[#This Row],[Target Time (Hrs)]]/Table1[[#This Row],[Actual Time (Hrs)]], 0)</f>
        <v>0.98765432098765438</v>
      </c>
      <c r="L32" s="9">
        <f>IF(Table1[[#This Row],[Actual Time (Hrs)]]&gt;0, Table1[[#This Row],[Units Completed]]/Table1[[#This Row],[Actual Time (Hrs)]], 0)</f>
        <v>5.0617283950617287</v>
      </c>
      <c r="M32" s="4" t="str">
        <f>_xlfn.IFS(Table1[[#This Row],[Efficiency %]]&gt;=1.1, "Exceeds", Table1[[#This Row],[Efficiency %]]&gt;=0.9, "Meets", Table1[[#This Row],[Efficiency %]]&lt;0.9, "Needs Improvement")</f>
        <v>Meets</v>
      </c>
      <c r="N32" s="4">
        <f>Table1[[#This Row],[Actual Time (Hrs)]]*Table1[[#This Row],[Hourly Rate (INR)]]</f>
        <v>3645</v>
      </c>
      <c r="O32" s="4">
        <f>(Table1[[#This Row],[Target Time (Hrs)]]*Table1[[#This Row],[Hourly Rate (INR)]])-Table1[[#This Row],[Total Task Cost (INR)]]</f>
        <v>-45</v>
      </c>
    </row>
    <row r="33" spans="1:15" ht="29.25" thickBot="1" x14ac:dyDescent="0.75">
      <c r="A33" s="3">
        <v>45960</v>
      </c>
      <c r="B33" s="4" t="s">
        <v>82</v>
      </c>
      <c r="C33" s="4" t="s">
        <v>53</v>
      </c>
      <c r="D33" s="4" t="s">
        <v>29</v>
      </c>
      <c r="E33" s="4" t="s">
        <v>42</v>
      </c>
      <c r="F33" s="4">
        <v>600</v>
      </c>
      <c r="G33" s="4">
        <v>42</v>
      </c>
      <c r="H33" s="4">
        <v>5</v>
      </c>
      <c r="I33" s="4">
        <v>5.2</v>
      </c>
      <c r="J33" s="4">
        <f>Table1[[#This Row],[Target Time (Hrs)]]-Table1[[#This Row],[Actual Time (Hrs)]]</f>
        <v>-0.20000000000000018</v>
      </c>
      <c r="K33" s="5">
        <f>IF(Table1[[#This Row],[Actual Time (Hrs)]]&gt;0, Table1[[#This Row],[Target Time (Hrs)]]/Table1[[#This Row],[Actual Time (Hrs)]], 0)</f>
        <v>0.96153846153846145</v>
      </c>
      <c r="L33" s="9">
        <f>IF(Table1[[#This Row],[Actual Time (Hrs)]]&gt;0, Table1[[#This Row],[Units Completed]]/Table1[[#This Row],[Actual Time (Hrs)]], 0)</f>
        <v>8.0769230769230766</v>
      </c>
      <c r="M33" s="4" t="str">
        <f>_xlfn.IFS(Table1[[#This Row],[Efficiency %]]&gt;=1.1, "Exceeds", Table1[[#This Row],[Efficiency %]]&gt;=0.9, "Meets", Table1[[#This Row],[Efficiency %]]&lt;0.9, "Needs Improvement")</f>
        <v>Meets</v>
      </c>
      <c r="N33" s="4">
        <f>Table1[[#This Row],[Actual Time (Hrs)]]*Table1[[#This Row],[Hourly Rate (INR)]]</f>
        <v>3120</v>
      </c>
      <c r="O33" s="4">
        <f>(Table1[[#This Row],[Target Time (Hrs)]]*Table1[[#This Row],[Hourly Rate (INR)]])-Table1[[#This Row],[Total Task Cost (INR)]]</f>
        <v>-120</v>
      </c>
    </row>
    <row r="34" spans="1:15" ht="29.25" thickBot="1" x14ac:dyDescent="0.75">
      <c r="A34" s="3">
        <v>45959</v>
      </c>
      <c r="B34" s="4" t="s">
        <v>83</v>
      </c>
      <c r="C34" s="4" t="s">
        <v>56</v>
      </c>
      <c r="D34" s="4" t="s">
        <v>17</v>
      </c>
      <c r="E34" s="4" t="s">
        <v>45</v>
      </c>
      <c r="F34" s="4">
        <v>350</v>
      </c>
      <c r="G34" s="4">
        <v>43</v>
      </c>
      <c r="H34" s="4">
        <v>6</v>
      </c>
      <c r="I34" s="4">
        <v>6.2</v>
      </c>
      <c r="J34" s="4">
        <f>Table1[[#This Row],[Target Time (Hrs)]]-Table1[[#This Row],[Actual Time (Hrs)]]</f>
        <v>-0.20000000000000018</v>
      </c>
      <c r="K34" s="5">
        <f>IF(Table1[[#This Row],[Actual Time (Hrs)]]&gt;0, Table1[[#This Row],[Target Time (Hrs)]]/Table1[[#This Row],[Actual Time (Hrs)]], 0)</f>
        <v>0.96774193548387089</v>
      </c>
      <c r="L34" s="9">
        <f>IF(Table1[[#This Row],[Actual Time (Hrs)]]&gt;0, Table1[[#This Row],[Units Completed]]/Table1[[#This Row],[Actual Time (Hrs)]], 0)</f>
        <v>6.935483870967742</v>
      </c>
      <c r="M34" s="4" t="str">
        <f>_xlfn.IFS(Table1[[#This Row],[Efficiency %]]&gt;=1.1, "Exceeds", Table1[[#This Row],[Efficiency %]]&gt;=0.9, "Meets", Table1[[#This Row],[Efficiency %]]&lt;0.9, "Needs Improvement")</f>
        <v>Meets</v>
      </c>
      <c r="N34" s="4">
        <f>Table1[[#This Row],[Actual Time (Hrs)]]*Table1[[#This Row],[Hourly Rate (INR)]]</f>
        <v>2170</v>
      </c>
      <c r="O34" s="4">
        <f>(Table1[[#This Row],[Target Time (Hrs)]]*Table1[[#This Row],[Hourly Rate (INR)]])-Table1[[#This Row],[Total Task Cost (INR)]]</f>
        <v>-70</v>
      </c>
    </row>
    <row r="35" spans="1:15" ht="29.25" thickBot="1" x14ac:dyDescent="0.75">
      <c r="A35" s="3">
        <v>45958</v>
      </c>
      <c r="B35" s="4" t="s">
        <v>84</v>
      </c>
      <c r="C35" s="4" t="s">
        <v>58</v>
      </c>
      <c r="D35" s="4" t="s">
        <v>21</v>
      </c>
      <c r="E35" s="4" t="s">
        <v>48</v>
      </c>
      <c r="F35" s="4">
        <v>550</v>
      </c>
      <c r="G35" s="4">
        <v>44</v>
      </c>
      <c r="H35" s="4">
        <v>7</v>
      </c>
      <c r="I35" s="4">
        <v>7.2</v>
      </c>
      <c r="J35" s="4">
        <f>Table1[[#This Row],[Target Time (Hrs)]]-Table1[[#This Row],[Actual Time (Hrs)]]</f>
        <v>-0.20000000000000018</v>
      </c>
      <c r="K35" s="5">
        <f>IF(Table1[[#This Row],[Actual Time (Hrs)]]&gt;0, Table1[[#This Row],[Target Time (Hrs)]]/Table1[[#This Row],[Actual Time (Hrs)]], 0)</f>
        <v>0.97222222222222221</v>
      </c>
      <c r="L35" s="9">
        <f>IF(Table1[[#This Row],[Actual Time (Hrs)]]&gt;0, Table1[[#This Row],[Units Completed]]/Table1[[#This Row],[Actual Time (Hrs)]], 0)</f>
        <v>6.1111111111111107</v>
      </c>
      <c r="M35" s="4" t="str">
        <f>_xlfn.IFS(Table1[[#This Row],[Efficiency %]]&gt;=1.1, "Exceeds", Table1[[#This Row],[Efficiency %]]&gt;=0.9, "Meets", Table1[[#This Row],[Efficiency %]]&lt;0.9, "Needs Improvement")</f>
        <v>Meets</v>
      </c>
      <c r="N35" s="4">
        <f>Table1[[#This Row],[Actual Time (Hrs)]]*Table1[[#This Row],[Hourly Rate (INR)]]</f>
        <v>3960</v>
      </c>
      <c r="O35" s="4">
        <f>(Table1[[#This Row],[Target Time (Hrs)]]*Table1[[#This Row],[Hourly Rate (INR)]])-Table1[[#This Row],[Total Task Cost (INR)]]</f>
        <v>-110</v>
      </c>
    </row>
    <row r="36" spans="1:15" ht="29.25" thickBot="1" x14ac:dyDescent="0.75">
      <c r="A36" s="3">
        <v>45957</v>
      </c>
      <c r="B36" s="4" t="s">
        <v>85</v>
      </c>
      <c r="C36" s="4" t="s">
        <v>60</v>
      </c>
      <c r="D36" s="4" t="s">
        <v>25</v>
      </c>
      <c r="E36" s="4" t="s">
        <v>51</v>
      </c>
      <c r="F36" s="4">
        <v>450</v>
      </c>
      <c r="G36" s="4">
        <v>45</v>
      </c>
      <c r="H36" s="4">
        <v>8</v>
      </c>
      <c r="I36" s="4">
        <v>8.1999999999999993</v>
      </c>
      <c r="J36" s="4">
        <f>Table1[[#This Row],[Target Time (Hrs)]]-Table1[[#This Row],[Actual Time (Hrs)]]</f>
        <v>-0.19999999999999929</v>
      </c>
      <c r="K36" s="5">
        <f>IF(Table1[[#This Row],[Actual Time (Hrs)]]&gt;0, Table1[[#This Row],[Target Time (Hrs)]]/Table1[[#This Row],[Actual Time (Hrs)]], 0)</f>
        <v>0.97560975609756106</v>
      </c>
      <c r="L36" s="9">
        <f>IF(Table1[[#This Row],[Actual Time (Hrs)]]&gt;0, Table1[[#This Row],[Units Completed]]/Table1[[#This Row],[Actual Time (Hrs)]], 0)</f>
        <v>5.4878048780487809</v>
      </c>
      <c r="M36" s="4" t="str">
        <f>_xlfn.IFS(Table1[[#This Row],[Efficiency %]]&gt;=1.1, "Exceeds", Table1[[#This Row],[Efficiency %]]&gt;=0.9, "Meets", Table1[[#This Row],[Efficiency %]]&lt;0.9, "Needs Improvement")</f>
        <v>Meets</v>
      </c>
      <c r="N36" s="4">
        <f>Table1[[#This Row],[Actual Time (Hrs)]]*Table1[[#This Row],[Hourly Rate (INR)]]</f>
        <v>3689.9999999999995</v>
      </c>
      <c r="O36" s="4">
        <f>(Table1[[#This Row],[Target Time (Hrs)]]*Table1[[#This Row],[Hourly Rate (INR)]])-Table1[[#This Row],[Total Task Cost (INR)]]</f>
        <v>-89.999999999999545</v>
      </c>
    </row>
    <row r="37" spans="1:15" ht="43.5" thickBot="1" x14ac:dyDescent="0.75">
      <c r="A37" s="3">
        <v>45956</v>
      </c>
      <c r="B37" s="4" t="s">
        <v>86</v>
      </c>
      <c r="C37" s="4" t="s">
        <v>62</v>
      </c>
      <c r="D37" s="4" t="s">
        <v>29</v>
      </c>
      <c r="E37" s="4" t="s">
        <v>54</v>
      </c>
      <c r="F37" s="4">
        <v>600</v>
      </c>
      <c r="G37" s="4">
        <v>46</v>
      </c>
      <c r="H37" s="4">
        <v>5</v>
      </c>
      <c r="I37" s="4">
        <v>5.3</v>
      </c>
      <c r="J37" s="4">
        <f>Table1[[#This Row],[Target Time (Hrs)]]-Table1[[#This Row],[Actual Time (Hrs)]]</f>
        <v>-0.29999999999999982</v>
      </c>
      <c r="K37" s="5">
        <f>IF(Table1[[#This Row],[Actual Time (Hrs)]]&gt;0, Table1[[#This Row],[Target Time (Hrs)]]/Table1[[#This Row],[Actual Time (Hrs)]], 0)</f>
        <v>0.94339622641509435</v>
      </c>
      <c r="L37" s="9">
        <f>IF(Table1[[#This Row],[Actual Time (Hrs)]]&gt;0, Table1[[#This Row],[Units Completed]]/Table1[[#This Row],[Actual Time (Hrs)]], 0)</f>
        <v>8.6792452830188687</v>
      </c>
      <c r="M37" s="4" t="str">
        <f>_xlfn.IFS(Table1[[#This Row],[Efficiency %]]&gt;=1.1, "Exceeds", Table1[[#This Row],[Efficiency %]]&gt;=0.9, "Meets", Table1[[#This Row],[Efficiency %]]&lt;0.9, "Needs Improvement")</f>
        <v>Meets</v>
      </c>
      <c r="N37" s="4">
        <f>Table1[[#This Row],[Actual Time (Hrs)]]*Table1[[#This Row],[Hourly Rate (INR)]]</f>
        <v>3180</v>
      </c>
      <c r="O37" s="4">
        <f>(Table1[[#This Row],[Target Time (Hrs)]]*Table1[[#This Row],[Hourly Rate (INR)]])-Table1[[#This Row],[Total Task Cost (INR)]]</f>
        <v>-180</v>
      </c>
    </row>
    <row r="38" spans="1:15" ht="29.25" thickBot="1" x14ac:dyDescent="0.75">
      <c r="A38" s="3">
        <v>45955</v>
      </c>
      <c r="B38" s="4" t="s">
        <v>87</v>
      </c>
      <c r="C38" s="4" t="s">
        <v>64</v>
      </c>
      <c r="D38" s="4" t="s">
        <v>17</v>
      </c>
      <c r="E38" s="4" t="s">
        <v>18</v>
      </c>
      <c r="F38" s="4">
        <v>350</v>
      </c>
      <c r="G38" s="4">
        <v>47</v>
      </c>
      <c r="H38" s="4">
        <v>6</v>
      </c>
      <c r="I38" s="4">
        <v>6.3</v>
      </c>
      <c r="J38" s="4">
        <f>Table1[[#This Row],[Target Time (Hrs)]]-Table1[[#This Row],[Actual Time (Hrs)]]</f>
        <v>-0.29999999999999982</v>
      </c>
      <c r="K38" s="5">
        <f>IF(Table1[[#This Row],[Actual Time (Hrs)]]&gt;0, Table1[[#This Row],[Target Time (Hrs)]]/Table1[[#This Row],[Actual Time (Hrs)]], 0)</f>
        <v>0.95238095238095244</v>
      </c>
      <c r="L38" s="9">
        <f>IF(Table1[[#This Row],[Actual Time (Hrs)]]&gt;0, Table1[[#This Row],[Units Completed]]/Table1[[#This Row],[Actual Time (Hrs)]], 0)</f>
        <v>7.4603174603174605</v>
      </c>
      <c r="M38" s="4" t="str">
        <f>_xlfn.IFS(Table1[[#This Row],[Efficiency %]]&gt;=1.1, "Exceeds", Table1[[#This Row],[Efficiency %]]&gt;=0.9, "Meets", Table1[[#This Row],[Efficiency %]]&lt;0.9, "Needs Improvement")</f>
        <v>Meets</v>
      </c>
      <c r="N38" s="4">
        <f>Table1[[#This Row],[Actual Time (Hrs)]]*Table1[[#This Row],[Hourly Rate (INR)]]</f>
        <v>2205</v>
      </c>
      <c r="O38" s="4">
        <f>(Table1[[#This Row],[Target Time (Hrs)]]*Table1[[#This Row],[Hourly Rate (INR)]])-Table1[[#This Row],[Total Task Cost (INR)]]</f>
        <v>-105</v>
      </c>
    </row>
    <row r="39" spans="1:15" ht="29.25" thickBot="1" x14ac:dyDescent="0.75">
      <c r="A39" s="3">
        <v>45954</v>
      </c>
      <c r="B39" s="4" t="s">
        <v>88</v>
      </c>
      <c r="C39" s="4" t="s">
        <v>66</v>
      </c>
      <c r="D39" s="4" t="s">
        <v>21</v>
      </c>
      <c r="E39" s="4" t="s">
        <v>22</v>
      </c>
      <c r="F39" s="4">
        <v>550</v>
      </c>
      <c r="G39" s="4">
        <v>48</v>
      </c>
      <c r="H39" s="4">
        <v>7</v>
      </c>
      <c r="I39" s="4">
        <v>7.3</v>
      </c>
      <c r="J39" s="4">
        <f>Table1[[#This Row],[Target Time (Hrs)]]-Table1[[#This Row],[Actual Time (Hrs)]]</f>
        <v>-0.29999999999999982</v>
      </c>
      <c r="K39" s="5">
        <f>IF(Table1[[#This Row],[Actual Time (Hrs)]]&gt;0, Table1[[#This Row],[Target Time (Hrs)]]/Table1[[#This Row],[Actual Time (Hrs)]], 0)</f>
        <v>0.95890410958904115</v>
      </c>
      <c r="L39" s="9">
        <f>IF(Table1[[#This Row],[Actual Time (Hrs)]]&gt;0, Table1[[#This Row],[Units Completed]]/Table1[[#This Row],[Actual Time (Hrs)]], 0)</f>
        <v>6.5753424657534252</v>
      </c>
      <c r="M39" s="4" t="str">
        <f>_xlfn.IFS(Table1[[#This Row],[Efficiency %]]&gt;=1.1, "Exceeds", Table1[[#This Row],[Efficiency %]]&gt;=0.9, "Meets", Table1[[#This Row],[Efficiency %]]&lt;0.9, "Needs Improvement")</f>
        <v>Meets</v>
      </c>
      <c r="N39" s="4">
        <f>Table1[[#This Row],[Actual Time (Hrs)]]*Table1[[#This Row],[Hourly Rate (INR)]]</f>
        <v>4015</v>
      </c>
      <c r="O39" s="4">
        <f>(Table1[[#This Row],[Target Time (Hrs)]]*Table1[[#This Row],[Hourly Rate (INR)]])-Table1[[#This Row],[Total Task Cost (INR)]]</f>
        <v>-165</v>
      </c>
    </row>
    <row r="40" spans="1:15" ht="29.25" thickBot="1" x14ac:dyDescent="0.75">
      <c r="A40" s="3">
        <v>45953</v>
      </c>
      <c r="B40" s="4" t="s">
        <v>89</v>
      </c>
      <c r="C40" s="4" t="s">
        <v>68</v>
      </c>
      <c r="D40" s="4" t="s">
        <v>25</v>
      </c>
      <c r="E40" s="4" t="s">
        <v>26</v>
      </c>
      <c r="F40" s="4">
        <v>450</v>
      </c>
      <c r="G40" s="4">
        <v>49</v>
      </c>
      <c r="H40" s="4">
        <v>8</v>
      </c>
      <c r="I40" s="4">
        <v>8.3000000000000007</v>
      </c>
      <c r="J40" s="4">
        <f>Table1[[#This Row],[Target Time (Hrs)]]-Table1[[#This Row],[Actual Time (Hrs)]]</f>
        <v>-0.30000000000000071</v>
      </c>
      <c r="K40" s="5">
        <f>IF(Table1[[#This Row],[Actual Time (Hrs)]]&gt;0, Table1[[#This Row],[Target Time (Hrs)]]/Table1[[#This Row],[Actual Time (Hrs)]], 0)</f>
        <v>0.96385542168674687</v>
      </c>
      <c r="L40" s="9">
        <f>IF(Table1[[#This Row],[Actual Time (Hrs)]]&gt;0, Table1[[#This Row],[Units Completed]]/Table1[[#This Row],[Actual Time (Hrs)]], 0)</f>
        <v>5.903614457831325</v>
      </c>
      <c r="M40" s="4" t="str">
        <f>_xlfn.IFS(Table1[[#This Row],[Efficiency %]]&gt;=1.1, "Exceeds", Table1[[#This Row],[Efficiency %]]&gt;=0.9, "Meets", Table1[[#This Row],[Efficiency %]]&lt;0.9, "Needs Improvement")</f>
        <v>Meets</v>
      </c>
      <c r="N40" s="4">
        <f>Table1[[#This Row],[Actual Time (Hrs)]]*Table1[[#This Row],[Hourly Rate (INR)]]</f>
        <v>3735.0000000000005</v>
      </c>
      <c r="O40" s="4">
        <f>(Table1[[#This Row],[Target Time (Hrs)]]*Table1[[#This Row],[Hourly Rate (INR)]])-Table1[[#This Row],[Total Task Cost (INR)]]</f>
        <v>-135.00000000000045</v>
      </c>
    </row>
    <row r="41" spans="1:15" ht="29.25" thickBot="1" x14ac:dyDescent="0.75">
      <c r="A41" s="3">
        <v>45952</v>
      </c>
      <c r="B41" s="4" t="s">
        <v>90</v>
      </c>
      <c r="C41" s="4" t="s">
        <v>70</v>
      </c>
      <c r="D41" s="4" t="s">
        <v>29</v>
      </c>
      <c r="E41" s="4" t="s">
        <v>30</v>
      </c>
      <c r="F41" s="4">
        <v>600</v>
      </c>
      <c r="G41" s="4">
        <v>10</v>
      </c>
      <c r="H41" s="4">
        <v>5</v>
      </c>
      <c r="I41" s="4">
        <v>5.4</v>
      </c>
      <c r="J41" s="4">
        <f>Table1[[#This Row],[Target Time (Hrs)]]-Table1[[#This Row],[Actual Time (Hrs)]]</f>
        <v>-0.40000000000000036</v>
      </c>
      <c r="K41" s="5">
        <f>IF(Table1[[#This Row],[Actual Time (Hrs)]]&gt;0, Table1[[#This Row],[Target Time (Hrs)]]/Table1[[#This Row],[Actual Time (Hrs)]], 0)</f>
        <v>0.92592592592592582</v>
      </c>
      <c r="L41" s="9">
        <f>IF(Table1[[#This Row],[Actual Time (Hrs)]]&gt;0, Table1[[#This Row],[Units Completed]]/Table1[[#This Row],[Actual Time (Hrs)]], 0)</f>
        <v>1.8518518518518516</v>
      </c>
      <c r="M41" s="4" t="str">
        <f>_xlfn.IFS(Table1[[#This Row],[Efficiency %]]&gt;=1.1, "Exceeds", Table1[[#This Row],[Efficiency %]]&gt;=0.9, "Meets", Table1[[#This Row],[Efficiency %]]&lt;0.9, "Needs Improvement")</f>
        <v>Meets</v>
      </c>
      <c r="N41" s="4">
        <f>Table1[[#This Row],[Actual Time (Hrs)]]*Table1[[#This Row],[Hourly Rate (INR)]]</f>
        <v>3240</v>
      </c>
      <c r="O41" s="4">
        <f>(Table1[[#This Row],[Target Time (Hrs)]]*Table1[[#This Row],[Hourly Rate (INR)]])-Table1[[#This Row],[Total Task Cost (INR)]]</f>
        <v>-240</v>
      </c>
    </row>
    <row r="42" spans="1:15" ht="29.25" thickBot="1" x14ac:dyDescent="0.75">
      <c r="A42" s="3">
        <v>45951</v>
      </c>
      <c r="B42" s="4" t="s">
        <v>91</v>
      </c>
      <c r="C42" s="4" t="s">
        <v>16</v>
      </c>
      <c r="D42" s="4" t="s">
        <v>17</v>
      </c>
      <c r="E42" s="4" t="s">
        <v>33</v>
      </c>
      <c r="F42" s="4">
        <v>350</v>
      </c>
      <c r="G42" s="4">
        <v>11</v>
      </c>
      <c r="H42" s="4">
        <v>6</v>
      </c>
      <c r="I42" s="4">
        <v>6.4</v>
      </c>
      <c r="J42" s="4">
        <f>Table1[[#This Row],[Target Time (Hrs)]]-Table1[[#This Row],[Actual Time (Hrs)]]</f>
        <v>-0.40000000000000036</v>
      </c>
      <c r="K42" s="5">
        <f>IF(Table1[[#This Row],[Actual Time (Hrs)]]&gt;0, Table1[[#This Row],[Target Time (Hrs)]]/Table1[[#This Row],[Actual Time (Hrs)]], 0)</f>
        <v>0.9375</v>
      </c>
      <c r="L42" s="9">
        <f>IF(Table1[[#This Row],[Actual Time (Hrs)]]&gt;0, Table1[[#This Row],[Units Completed]]/Table1[[#This Row],[Actual Time (Hrs)]], 0)</f>
        <v>1.71875</v>
      </c>
      <c r="M42" s="4" t="str">
        <f>_xlfn.IFS(Table1[[#This Row],[Efficiency %]]&gt;=1.1, "Exceeds", Table1[[#This Row],[Efficiency %]]&gt;=0.9, "Meets", Table1[[#This Row],[Efficiency %]]&lt;0.9, "Needs Improvement")</f>
        <v>Meets</v>
      </c>
      <c r="N42" s="4">
        <f>Table1[[#This Row],[Actual Time (Hrs)]]*Table1[[#This Row],[Hourly Rate (INR)]]</f>
        <v>2240</v>
      </c>
      <c r="O42" s="4">
        <f>(Table1[[#This Row],[Target Time (Hrs)]]*Table1[[#This Row],[Hourly Rate (INR)]])-Table1[[#This Row],[Total Task Cost (INR)]]</f>
        <v>-140</v>
      </c>
    </row>
    <row r="43" spans="1:15" ht="29.25" thickBot="1" x14ac:dyDescent="0.75">
      <c r="A43" s="3">
        <v>45950</v>
      </c>
      <c r="B43" s="4" t="s">
        <v>92</v>
      </c>
      <c r="C43" s="4" t="s">
        <v>20</v>
      </c>
      <c r="D43" s="4" t="s">
        <v>21</v>
      </c>
      <c r="E43" s="4" t="s">
        <v>36</v>
      </c>
      <c r="F43" s="4">
        <v>550</v>
      </c>
      <c r="G43" s="4">
        <v>12</v>
      </c>
      <c r="H43" s="4">
        <v>7</v>
      </c>
      <c r="I43" s="4">
        <v>7.4</v>
      </c>
      <c r="J43" s="4">
        <f>Table1[[#This Row],[Target Time (Hrs)]]-Table1[[#This Row],[Actual Time (Hrs)]]</f>
        <v>-0.40000000000000036</v>
      </c>
      <c r="K43" s="5">
        <f>IF(Table1[[#This Row],[Actual Time (Hrs)]]&gt;0, Table1[[#This Row],[Target Time (Hrs)]]/Table1[[#This Row],[Actual Time (Hrs)]], 0)</f>
        <v>0.94594594594594594</v>
      </c>
      <c r="L43" s="9">
        <f>IF(Table1[[#This Row],[Actual Time (Hrs)]]&gt;0, Table1[[#This Row],[Units Completed]]/Table1[[#This Row],[Actual Time (Hrs)]], 0)</f>
        <v>1.6216216216216215</v>
      </c>
      <c r="M43" s="4" t="str">
        <f>_xlfn.IFS(Table1[[#This Row],[Efficiency %]]&gt;=1.1, "Exceeds", Table1[[#This Row],[Efficiency %]]&gt;=0.9, "Meets", Table1[[#This Row],[Efficiency %]]&lt;0.9, "Needs Improvement")</f>
        <v>Meets</v>
      </c>
      <c r="N43" s="4">
        <f>Table1[[#This Row],[Actual Time (Hrs)]]*Table1[[#This Row],[Hourly Rate (INR)]]</f>
        <v>4070</v>
      </c>
      <c r="O43" s="4">
        <f>(Table1[[#This Row],[Target Time (Hrs)]]*Table1[[#This Row],[Hourly Rate (INR)]])-Table1[[#This Row],[Total Task Cost (INR)]]</f>
        <v>-220</v>
      </c>
    </row>
    <row r="44" spans="1:15" ht="26.25" thickBot="1" x14ac:dyDescent="0.75">
      <c r="A44" s="4" t="s">
        <v>93</v>
      </c>
      <c r="B44" s="4"/>
      <c r="C44" s="4"/>
      <c r="D44" s="4"/>
      <c r="E44" s="4"/>
      <c r="F44" s="4"/>
      <c r="G44" s="4"/>
      <c r="H44" s="4"/>
      <c r="I44" s="4"/>
      <c r="J44" s="4">
        <f>Table1[[#This Row],[Target Time (Hrs)]]-Table1[[#This Row],[Actual Time (Hrs)]]</f>
        <v>0</v>
      </c>
      <c r="K44" s="5">
        <f>IF(Table1[[#This Row],[Actual Time (Hrs)]]&gt;0, Table1[[#This Row],[Target Time (Hrs)]]/Table1[[#This Row],[Actual Time (Hrs)]], 0)</f>
        <v>0</v>
      </c>
      <c r="L44" s="9">
        <f>IF(Table1[[#This Row],[Actual Time (Hrs)]]&gt;0, Table1[[#This Row],[Units Completed]]/Table1[[#This Row],[Actual Time (Hrs)]], 0)</f>
        <v>0</v>
      </c>
      <c r="M44" s="4" t="str">
        <f>_xlfn.IFS(Table1[[#This Row],[Efficiency %]]&gt;=1.1, "Exceeds", Table1[[#This Row],[Efficiency %]]&gt;=0.9, "Meets", Table1[[#This Row],[Efficiency %]]&lt;0.9, "Needs Improvement")</f>
        <v>Needs Improvement</v>
      </c>
      <c r="N44" s="4">
        <f>Table1[[#This Row],[Actual Time (Hrs)]]*Table1[[#This Row],[Hourly Rate (INR)]]</f>
        <v>0</v>
      </c>
      <c r="O44" s="4">
        <f>(Table1[[#This Row],[Target Time (Hrs)]]*Table1[[#This Row],[Hourly Rate (INR)]])-Table1[[#This Row],[Total Task Cost (INR)]]</f>
        <v>0</v>
      </c>
    </row>
    <row r="45" spans="1:15" ht="29.25" thickBot="1" x14ac:dyDescent="0.75">
      <c r="A45" s="3">
        <v>45949</v>
      </c>
      <c r="B45" s="4" t="s">
        <v>94</v>
      </c>
      <c r="C45" s="4" t="s">
        <v>24</v>
      </c>
      <c r="D45" s="4" t="s">
        <v>25</v>
      </c>
      <c r="E45" s="4" t="s">
        <v>39</v>
      </c>
      <c r="F45" s="4">
        <v>450</v>
      </c>
      <c r="G45" s="4">
        <v>13</v>
      </c>
      <c r="H45" s="4">
        <v>8</v>
      </c>
      <c r="I45" s="4">
        <v>8.4</v>
      </c>
      <c r="J45" s="4">
        <f>Table1[[#This Row],[Target Time (Hrs)]]-Table1[[#This Row],[Actual Time (Hrs)]]</f>
        <v>-0.40000000000000036</v>
      </c>
      <c r="K45" s="5">
        <f>IF(Table1[[#This Row],[Actual Time (Hrs)]]&gt;0, Table1[[#This Row],[Target Time (Hrs)]]/Table1[[#This Row],[Actual Time (Hrs)]], 0)</f>
        <v>0.95238095238095233</v>
      </c>
      <c r="L45" s="9">
        <f>IF(Table1[[#This Row],[Actual Time (Hrs)]]&gt;0, Table1[[#This Row],[Units Completed]]/Table1[[#This Row],[Actual Time (Hrs)]], 0)</f>
        <v>1.5476190476190474</v>
      </c>
      <c r="M45" s="4" t="str">
        <f>_xlfn.IFS(Table1[[#This Row],[Efficiency %]]&gt;=1.1, "Exceeds", Table1[[#This Row],[Efficiency %]]&gt;=0.9, "Meets", Table1[[#This Row],[Efficiency %]]&lt;0.9, "Needs Improvement")</f>
        <v>Meets</v>
      </c>
      <c r="N45" s="4">
        <f>Table1[[#This Row],[Actual Time (Hrs)]]*Table1[[#This Row],[Hourly Rate (INR)]]</f>
        <v>3780</v>
      </c>
      <c r="O45" s="4">
        <f>(Table1[[#This Row],[Target Time (Hrs)]]*Table1[[#This Row],[Hourly Rate (INR)]])-Table1[[#This Row],[Total Task Cost (INR)]]</f>
        <v>-180</v>
      </c>
    </row>
    <row r="46" spans="1:15" ht="29.25" thickBot="1" x14ac:dyDescent="0.75">
      <c r="A46" s="3">
        <v>45948</v>
      </c>
      <c r="B46" s="4" t="s">
        <v>95</v>
      </c>
      <c r="C46" s="4" t="s">
        <v>28</v>
      </c>
      <c r="D46" s="4" t="s">
        <v>29</v>
      </c>
      <c r="E46" s="4" t="s">
        <v>42</v>
      </c>
      <c r="F46" s="4">
        <v>600</v>
      </c>
      <c r="G46" s="4">
        <v>14</v>
      </c>
      <c r="H46" s="4">
        <v>5</v>
      </c>
      <c r="I46" s="4">
        <v>5.5</v>
      </c>
      <c r="J46" s="4">
        <f>Table1[[#This Row],[Target Time (Hrs)]]-Table1[[#This Row],[Actual Time (Hrs)]]</f>
        <v>-0.5</v>
      </c>
      <c r="K46" s="5">
        <f>IF(Table1[[#This Row],[Actual Time (Hrs)]]&gt;0, Table1[[#This Row],[Target Time (Hrs)]]/Table1[[#This Row],[Actual Time (Hrs)]], 0)</f>
        <v>0.90909090909090906</v>
      </c>
      <c r="L46" s="9">
        <f>IF(Table1[[#This Row],[Actual Time (Hrs)]]&gt;0, Table1[[#This Row],[Units Completed]]/Table1[[#This Row],[Actual Time (Hrs)]], 0)</f>
        <v>2.5454545454545454</v>
      </c>
      <c r="M46" s="4" t="str">
        <f>_xlfn.IFS(Table1[[#This Row],[Efficiency %]]&gt;=1.1, "Exceeds", Table1[[#This Row],[Efficiency %]]&gt;=0.9, "Meets", Table1[[#This Row],[Efficiency %]]&lt;0.9, "Needs Improvement")</f>
        <v>Meets</v>
      </c>
      <c r="N46" s="4">
        <f>Table1[[#This Row],[Actual Time (Hrs)]]*Table1[[#This Row],[Hourly Rate (INR)]]</f>
        <v>3300</v>
      </c>
      <c r="O46" s="4">
        <f>(Table1[[#This Row],[Target Time (Hrs)]]*Table1[[#This Row],[Hourly Rate (INR)]])-Table1[[#This Row],[Total Task Cost (INR)]]</f>
        <v>-300</v>
      </c>
    </row>
    <row r="47" spans="1:15" ht="29.25" thickBot="1" x14ac:dyDescent="0.75">
      <c r="A47" s="3">
        <v>45947</v>
      </c>
      <c r="B47" s="4" t="s">
        <v>96</v>
      </c>
      <c r="C47" s="4" t="s">
        <v>32</v>
      </c>
      <c r="D47" s="4" t="s">
        <v>17</v>
      </c>
      <c r="E47" s="4" t="s">
        <v>45</v>
      </c>
      <c r="F47" s="4">
        <v>350</v>
      </c>
      <c r="G47" s="4">
        <v>15</v>
      </c>
      <c r="H47" s="4">
        <v>6</v>
      </c>
      <c r="I47" s="4">
        <v>6.5</v>
      </c>
      <c r="J47" s="4">
        <f>Table1[[#This Row],[Target Time (Hrs)]]-Table1[[#This Row],[Actual Time (Hrs)]]</f>
        <v>-0.5</v>
      </c>
      <c r="K47" s="5">
        <f>IF(Table1[[#This Row],[Actual Time (Hrs)]]&gt;0, Table1[[#This Row],[Target Time (Hrs)]]/Table1[[#This Row],[Actual Time (Hrs)]], 0)</f>
        <v>0.92307692307692313</v>
      </c>
      <c r="L47" s="9">
        <f>IF(Table1[[#This Row],[Actual Time (Hrs)]]&gt;0, Table1[[#This Row],[Units Completed]]/Table1[[#This Row],[Actual Time (Hrs)]], 0)</f>
        <v>2.3076923076923075</v>
      </c>
      <c r="M47" s="4" t="str">
        <f>_xlfn.IFS(Table1[[#This Row],[Efficiency %]]&gt;=1.1, "Exceeds", Table1[[#This Row],[Efficiency %]]&gt;=0.9, "Meets", Table1[[#This Row],[Efficiency %]]&lt;0.9, "Needs Improvement")</f>
        <v>Meets</v>
      </c>
      <c r="N47" s="4">
        <f>Table1[[#This Row],[Actual Time (Hrs)]]*Table1[[#This Row],[Hourly Rate (INR)]]</f>
        <v>2275</v>
      </c>
      <c r="O47" s="4">
        <f>(Table1[[#This Row],[Target Time (Hrs)]]*Table1[[#This Row],[Hourly Rate (INR)]])-Table1[[#This Row],[Total Task Cost (INR)]]</f>
        <v>-175</v>
      </c>
    </row>
    <row r="48" spans="1:15" ht="29.25" thickBot="1" x14ac:dyDescent="0.75">
      <c r="A48" s="3">
        <v>45946</v>
      </c>
      <c r="B48" s="4" t="s">
        <v>97</v>
      </c>
      <c r="C48" s="4" t="s">
        <v>35</v>
      </c>
      <c r="D48" s="4" t="s">
        <v>21</v>
      </c>
      <c r="E48" s="4" t="s">
        <v>48</v>
      </c>
      <c r="F48" s="4">
        <v>550</v>
      </c>
      <c r="G48" s="4">
        <v>16</v>
      </c>
      <c r="H48" s="4">
        <v>7</v>
      </c>
      <c r="I48" s="4">
        <v>7.6</v>
      </c>
      <c r="J48" s="4">
        <f>Table1[[#This Row],[Target Time (Hrs)]]-Table1[[#This Row],[Actual Time (Hrs)]]</f>
        <v>-0.59999999999999964</v>
      </c>
      <c r="K48" s="5">
        <f>IF(Table1[[#This Row],[Actual Time (Hrs)]]&gt;0, Table1[[#This Row],[Target Time (Hrs)]]/Table1[[#This Row],[Actual Time (Hrs)]], 0)</f>
        <v>0.92105263157894746</v>
      </c>
      <c r="L48" s="9">
        <f>IF(Table1[[#This Row],[Actual Time (Hrs)]]&gt;0, Table1[[#This Row],[Units Completed]]/Table1[[#This Row],[Actual Time (Hrs)]], 0)</f>
        <v>2.1052631578947367</v>
      </c>
      <c r="M48" s="4" t="str">
        <f>_xlfn.IFS(Table1[[#This Row],[Efficiency %]]&gt;=1.1, "Exceeds", Table1[[#This Row],[Efficiency %]]&gt;=0.9, "Meets", Table1[[#This Row],[Efficiency %]]&lt;0.9, "Needs Improvement")</f>
        <v>Meets</v>
      </c>
      <c r="N48" s="4">
        <f>Table1[[#This Row],[Actual Time (Hrs)]]*Table1[[#This Row],[Hourly Rate (INR)]]</f>
        <v>4180</v>
      </c>
      <c r="O48" s="4">
        <f>(Table1[[#This Row],[Target Time (Hrs)]]*Table1[[#This Row],[Hourly Rate (INR)]])-Table1[[#This Row],[Total Task Cost (INR)]]</f>
        <v>-330</v>
      </c>
    </row>
    <row r="49" spans="1:15" ht="29.25" thickBot="1" x14ac:dyDescent="0.75">
      <c r="A49" s="3">
        <v>45945</v>
      </c>
      <c r="B49" s="4" t="s">
        <v>98</v>
      </c>
      <c r="C49" s="4" t="s">
        <v>38</v>
      </c>
      <c r="D49" s="4" t="s">
        <v>25</v>
      </c>
      <c r="E49" s="4" t="s">
        <v>51</v>
      </c>
      <c r="F49" s="4">
        <v>450</v>
      </c>
      <c r="G49" s="4">
        <v>17</v>
      </c>
      <c r="H49" s="4">
        <v>8</v>
      </c>
      <c r="I49" s="4">
        <v>8.6</v>
      </c>
      <c r="J49" s="4">
        <f>Table1[[#This Row],[Target Time (Hrs)]]-Table1[[#This Row],[Actual Time (Hrs)]]</f>
        <v>-0.59999999999999964</v>
      </c>
      <c r="K49" s="5">
        <f>IF(Table1[[#This Row],[Actual Time (Hrs)]]&gt;0, Table1[[#This Row],[Target Time (Hrs)]]/Table1[[#This Row],[Actual Time (Hrs)]], 0)</f>
        <v>0.93023255813953487</v>
      </c>
      <c r="L49" s="9">
        <f>IF(Table1[[#This Row],[Actual Time (Hrs)]]&gt;0, Table1[[#This Row],[Units Completed]]/Table1[[#This Row],[Actual Time (Hrs)]], 0)</f>
        <v>1.9767441860465118</v>
      </c>
      <c r="M49" s="4" t="str">
        <f>_xlfn.IFS(Table1[[#This Row],[Efficiency %]]&gt;=1.1, "Exceeds", Table1[[#This Row],[Efficiency %]]&gt;=0.9, "Meets", Table1[[#This Row],[Efficiency %]]&lt;0.9, "Needs Improvement")</f>
        <v>Meets</v>
      </c>
      <c r="N49" s="4">
        <f>Table1[[#This Row],[Actual Time (Hrs)]]*Table1[[#This Row],[Hourly Rate (INR)]]</f>
        <v>3870</v>
      </c>
      <c r="O49" s="4">
        <f>(Table1[[#This Row],[Target Time (Hrs)]]*Table1[[#This Row],[Hourly Rate (INR)]])-Table1[[#This Row],[Total Task Cost (INR)]]</f>
        <v>-270</v>
      </c>
    </row>
    <row r="50" spans="1:15" ht="43.5" thickBot="1" x14ac:dyDescent="0.75">
      <c r="A50" s="3">
        <v>45944</v>
      </c>
      <c r="B50" s="4" t="s">
        <v>99</v>
      </c>
      <c r="C50" s="4" t="s">
        <v>41</v>
      </c>
      <c r="D50" s="4" t="s">
        <v>29</v>
      </c>
      <c r="E50" s="4" t="s">
        <v>54</v>
      </c>
      <c r="F50" s="4">
        <v>600</v>
      </c>
      <c r="G50" s="4">
        <v>18</v>
      </c>
      <c r="H50" s="4">
        <v>5</v>
      </c>
      <c r="I50" s="4">
        <v>5.7</v>
      </c>
      <c r="J50" s="4">
        <f>Table1[[#This Row],[Target Time (Hrs)]]-Table1[[#This Row],[Actual Time (Hrs)]]</f>
        <v>-0.70000000000000018</v>
      </c>
      <c r="K50" s="5">
        <f>IF(Table1[[#This Row],[Actual Time (Hrs)]]&gt;0, Table1[[#This Row],[Target Time (Hrs)]]/Table1[[#This Row],[Actual Time (Hrs)]], 0)</f>
        <v>0.8771929824561403</v>
      </c>
      <c r="L50" s="9">
        <f>IF(Table1[[#This Row],[Actual Time (Hrs)]]&gt;0, Table1[[#This Row],[Units Completed]]/Table1[[#This Row],[Actual Time (Hrs)]], 0)</f>
        <v>3.1578947368421053</v>
      </c>
      <c r="M50" s="4" t="str">
        <f>_xlfn.IFS(Table1[[#This Row],[Efficiency %]]&gt;=1.1, "Exceeds", Table1[[#This Row],[Efficiency %]]&gt;=0.9, "Meets", Table1[[#This Row],[Efficiency %]]&lt;0.9, "Needs Improvement")</f>
        <v>Needs Improvement</v>
      </c>
      <c r="N50" s="4">
        <f>Table1[[#This Row],[Actual Time (Hrs)]]*Table1[[#This Row],[Hourly Rate (INR)]]</f>
        <v>3420</v>
      </c>
      <c r="O50" s="4">
        <f>(Table1[[#This Row],[Target Time (Hrs)]]*Table1[[#This Row],[Hourly Rate (INR)]])-Table1[[#This Row],[Total Task Cost (INR)]]</f>
        <v>-420</v>
      </c>
    </row>
    <row r="51" spans="1:15" ht="29.25" thickBot="1" x14ac:dyDescent="0.75">
      <c r="A51" s="3">
        <v>45943</v>
      </c>
      <c r="B51" s="4" t="s">
        <v>100</v>
      </c>
      <c r="C51" s="4" t="s">
        <v>44</v>
      </c>
      <c r="D51" s="4" t="s">
        <v>17</v>
      </c>
      <c r="E51" s="4" t="s">
        <v>18</v>
      </c>
      <c r="F51" s="4">
        <v>350</v>
      </c>
      <c r="G51" s="4">
        <v>19</v>
      </c>
      <c r="H51" s="4">
        <v>6</v>
      </c>
      <c r="I51" s="4">
        <v>6.7</v>
      </c>
      <c r="J51" s="4">
        <f>Table1[[#This Row],[Target Time (Hrs)]]-Table1[[#This Row],[Actual Time (Hrs)]]</f>
        <v>-0.70000000000000018</v>
      </c>
      <c r="K51" s="5">
        <f>IF(Table1[[#This Row],[Actual Time (Hrs)]]&gt;0, Table1[[#This Row],[Target Time (Hrs)]]/Table1[[#This Row],[Actual Time (Hrs)]], 0)</f>
        <v>0.89552238805970152</v>
      </c>
      <c r="L51" s="9">
        <f>IF(Table1[[#This Row],[Actual Time (Hrs)]]&gt;0, Table1[[#This Row],[Units Completed]]/Table1[[#This Row],[Actual Time (Hrs)]], 0)</f>
        <v>2.8358208955223878</v>
      </c>
      <c r="M51" s="4" t="str">
        <f>_xlfn.IFS(Table1[[#This Row],[Efficiency %]]&gt;=1.1, "Exceeds", Table1[[#This Row],[Efficiency %]]&gt;=0.9, "Meets", Table1[[#This Row],[Efficiency %]]&lt;0.9, "Needs Improvement")</f>
        <v>Needs Improvement</v>
      </c>
      <c r="N51" s="4">
        <f>Table1[[#This Row],[Actual Time (Hrs)]]*Table1[[#This Row],[Hourly Rate (INR)]]</f>
        <v>2345</v>
      </c>
      <c r="O51" s="4">
        <f>(Table1[[#This Row],[Target Time (Hrs)]]*Table1[[#This Row],[Hourly Rate (INR)]])-Table1[[#This Row],[Total Task Cost (INR)]]</f>
        <v>-245</v>
      </c>
    </row>
    <row r="52" spans="1:15" ht="29.25" thickBot="1" x14ac:dyDescent="0.75">
      <c r="A52" s="3">
        <v>45942</v>
      </c>
      <c r="B52" s="4" t="s">
        <v>101</v>
      </c>
      <c r="C52" s="4" t="s">
        <v>47</v>
      </c>
      <c r="D52" s="4" t="s">
        <v>21</v>
      </c>
      <c r="E52" s="4" t="s">
        <v>22</v>
      </c>
      <c r="F52" s="4">
        <v>550</v>
      </c>
      <c r="G52" s="4">
        <v>20</v>
      </c>
      <c r="H52" s="4">
        <v>7</v>
      </c>
      <c r="I52" s="4">
        <v>7.7</v>
      </c>
      <c r="J52" s="4">
        <f>Table1[[#This Row],[Target Time (Hrs)]]-Table1[[#This Row],[Actual Time (Hrs)]]</f>
        <v>-0.70000000000000018</v>
      </c>
      <c r="K52" s="5">
        <f>IF(Table1[[#This Row],[Actual Time (Hrs)]]&gt;0, Table1[[#This Row],[Target Time (Hrs)]]/Table1[[#This Row],[Actual Time (Hrs)]], 0)</f>
        <v>0.90909090909090906</v>
      </c>
      <c r="L52" s="9">
        <f>IF(Table1[[#This Row],[Actual Time (Hrs)]]&gt;0, Table1[[#This Row],[Units Completed]]/Table1[[#This Row],[Actual Time (Hrs)]], 0)</f>
        <v>2.5974025974025974</v>
      </c>
      <c r="M52" s="4" t="str">
        <f>_xlfn.IFS(Table1[[#This Row],[Efficiency %]]&gt;=1.1, "Exceeds", Table1[[#This Row],[Efficiency %]]&gt;=0.9, "Meets", Table1[[#This Row],[Efficiency %]]&lt;0.9, "Needs Improvement")</f>
        <v>Meets</v>
      </c>
      <c r="N52" s="4">
        <f>Table1[[#This Row],[Actual Time (Hrs)]]*Table1[[#This Row],[Hourly Rate (INR)]]</f>
        <v>4235</v>
      </c>
      <c r="O52" s="4">
        <f>(Table1[[#This Row],[Target Time (Hrs)]]*Table1[[#This Row],[Hourly Rate (INR)]])-Table1[[#This Row],[Total Task Cost (INR)]]</f>
        <v>-385</v>
      </c>
    </row>
    <row r="53" spans="1:15" ht="29.25" thickBot="1" x14ac:dyDescent="0.75">
      <c r="A53" s="3">
        <v>45941</v>
      </c>
      <c r="B53" s="4" t="s">
        <v>102</v>
      </c>
      <c r="C53" s="4" t="s">
        <v>50</v>
      </c>
      <c r="D53" s="4" t="s">
        <v>25</v>
      </c>
      <c r="E53" s="4" t="s">
        <v>26</v>
      </c>
      <c r="F53" s="4">
        <v>450</v>
      </c>
      <c r="G53" s="4">
        <v>21</v>
      </c>
      <c r="H53" s="4">
        <v>8</v>
      </c>
      <c r="I53" s="4">
        <v>8.6999999999999993</v>
      </c>
      <c r="J53" s="4">
        <f>Table1[[#This Row],[Target Time (Hrs)]]-Table1[[#This Row],[Actual Time (Hrs)]]</f>
        <v>-0.69999999999999929</v>
      </c>
      <c r="K53" s="5">
        <f>IF(Table1[[#This Row],[Actual Time (Hrs)]]&gt;0, Table1[[#This Row],[Target Time (Hrs)]]/Table1[[#This Row],[Actual Time (Hrs)]], 0)</f>
        <v>0.91954022988505757</v>
      </c>
      <c r="L53" s="9">
        <f>IF(Table1[[#This Row],[Actual Time (Hrs)]]&gt;0, Table1[[#This Row],[Units Completed]]/Table1[[#This Row],[Actual Time (Hrs)]], 0)</f>
        <v>2.4137931034482762</v>
      </c>
      <c r="M53" s="4" t="str">
        <f>_xlfn.IFS(Table1[[#This Row],[Efficiency %]]&gt;=1.1, "Exceeds", Table1[[#This Row],[Efficiency %]]&gt;=0.9, "Meets", Table1[[#This Row],[Efficiency %]]&lt;0.9, "Needs Improvement")</f>
        <v>Meets</v>
      </c>
      <c r="N53" s="4">
        <f>Table1[[#This Row],[Actual Time (Hrs)]]*Table1[[#This Row],[Hourly Rate (INR)]]</f>
        <v>3914.9999999999995</v>
      </c>
      <c r="O53" s="4">
        <f>(Table1[[#This Row],[Target Time (Hrs)]]*Table1[[#This Row],[Hourly Rate (INR)]])-Table1[[#This Row],[Total Task Cost (INR)]]</f>
        <v>-314.99999999999955</v>
      </c>
    </row>
    <row r="54" spans="1:15" ht="29.25" thickBot="1" x14ac:dyDescent="0.75">
      <c r="A54" s="3">
        <v>45940</v>
      </c>
      <c r="B54" s="4" t="s">
        <v>103</v>
      </c>
      <c r="C54" s="4" t="s">
        <v>53</v>
      </c>
      <c r="D54" s="4" t="s">
        <v>29</v>
      </c>
      <c r="E54" s="4" t="s">
        <v>30</v>
      </c>
      <c r="F54" s="4">
        <v>600</v>
      </c>
      <c r="G54" s="4">
        <v>22</v>
      </c>
      <c r="H54" s="4">
        <v>5</v>
      </c>
      <c r="I54" s="4">
        <v>5.8</v>
      </c>
      <c r="J54" s="4">
        <f>Table1[[#This Row],[Target Time (Hrs)]]-Table1[[#This Row],[Actual Time (Hrs)]]</f>
        <v>-0.79999999999999982</v>
      </c>
      <c r="K54" s="5">
        <f>IF(Table1[[#This Row],[Actual Time (Hrs)]]&gt;0, Table1[[#This Row],[Target Time (Hrs)]]/Table1[[#This Row],[Actual Time (Hrs)]], 0)</f>
        <v>0.86206896551724144</v>
      </c>
      <c r="L54" s="9">
        <f>IF(Table1[[#This Row],[Actual Time (Hrs)]]&gt;0, Table1[[#This Row],[Units Completed]]/Table1[[#This Row],[Actual Time (Hrs)]], 0)</f>
        <v>3.7931034482758621</v>
      </c>
      <c r="M54" s="4" t="str">
        <f>_xlfn.IFS(Table1[[#This Row],[Efficiency %]]&gt;=1.1, "Exceeds", Table1[[#This Row],[Efficiency %]]&gt;=0.9, "Meets", Table1[[#This Row],[Efficiency %]]&lt;0.9, "Needs Improvement")</f>
        <v>Needs Improvement</v>
      </c>
      <c r="N54" s="4">
        <f>Table1[[#This Row],[Actual Time (Hrs)]]*Table1[[#This Row],[Hourly Rate (INR)]]</f>
        <v>3480</v>
      </c>
      <c r="O54" s="4">
        <f>(Table1[[#This Row],[Target Time (Hrs)]]*Table1[[#This Row],[Hourly Rate (INR)]])-Table1[[#This Row],[Total Task Cost (INR)]]</f>
        <v>-480</v>
      </c>
    </row>
    <row r="55" spans="1:15" ht="29.25" thickBot="1" x14ac:dyDescent="0.75">
      <c r="A55" s="3">
        <v>45939</v>
      </c>
      <c r="B55" s="4" t="s">
        <v>104</v>
      </c>
      <c r="C55" s="4" t="s">
        <v>56</v>
      </c>
      <c r="D55" s="4" t="s">
        <v>17</v>
      </c>
      <c r="E55" s="4" t="s">
        <v>33</v>
      </c>
      <c r="F55" s="4">
        <v>350</v>
      </c>
      <c r="G55" s="4">
        <v>23</v>
      </c>
      <c r="H55" s="4">
        <v>6</v>
      </c>
      <c r="I55" s="4">
        <v>6.8</v>
      </c>
      <c r="J55" s="4">
        <f>Table1[[#This Row],[Target Time (Hrs)]]-Table1[[#This Row],[Actual Time (Hrs)]]</f>
        <v>-0.79999999999999982</v>
      </c>
      <c r="K55" s="5">
        <f>IF(Table1[[#This Row],[Actual Time (Hrs)]]&gt;0, Table1[[#This Row],[Target Time (Hrs)]]/Table1[[#This Row],[Actual Time (Hrs)]], 0)</f>
        <v>0.88235294117647056</v>
      </c>
      <c r="L55" s="9">
        <f>IF(Table1[[#This Row],[Actual Time (Hrs)]]&gt;0, Table1[[#This Row],[Units Completed]]/Table1[[#This Row],[Actual Time (Hrs)]], 0)</f>
        <v>3.3823529411764706</v>
      </c>
      <c r="M55" s="4" t="str">
        <f>_xlfn.IFS(Table1[[#This Row],[Efficiency %]]&gt;=1.1, "Exceeds", Table1[[#This Row],[Efficiency %]]&gt;=0.9, "Meets", Table1[[#This Row],[Efficiency %]]&lt;0.9, "Needs Improvement")</f>
        <v>Needs Improvement</v>
      </c>
      <c r="N55" s="4">
        <f>Table1[[#This Row],[Actual Time (Hrs)]]*Table1[[#This Row],[Hourly Rate (INR)]]</f>
        <v>2380</v>
      </c>
      <c r="O55" s="4">
        <f>(Table1[[#This Row],[Target Time (Hrs)]]*Table1[[#This Row],[Hourly Rate (INR)]])-Table1[[#This Row],[Total Task Cost (INR)]]</f>
        <v>-280</v>
      </c>
    </row>
    <row r="56" spans="1:15" ht="29.25" thickBot="1" x14ac:dyDescent="0.75">
      <c r="A56" s="3">
        <v>45938</v>
      </c>
      <c r="B56" s="4" t="s">
        <v>105</v>
      </c>
      <c r="C56" s="4" t="s">
        <v>58</v>
      </c>
      <c r="D56" s="4" t="s">
        <v>21</v>
      </c>
      <c r="E56" s="4" t="s">
        <v>36</v>
      </c>
      <c r="F56" s="4">
        <v>550</v>
      </c>
      <c r="G56" s="4">
        <v>24</v>
      </c>
      <c r="H56" s="4">
        <v>7</v>
      </c>
      <c r="I56" s="4">
        <v>7.8</v>
      </c>
      <c r="J56" s="4">
        <f>Table1[[#This Row],[Target Time (Hrs)]]-Table1[[#This Row],[Actual Time (Hrs)]]</f>
        <v>-0.79999999999999982</v>
      </c>
      <c r="K56" s="5">
        <f>IF(Table1[[#This Row],[Actual Time (Hrs)]]&gt;0, Table1[[#This Row],[Target Time (Hrs)]]/Table1[[#This Row],[Actual Time (Hrs)]], 0)</f>
        <v>0.89743589743589747</v>
      </c>
      <c r="L56" s="9">
        <f>IF(Table1[[#This Row],[Actual Time (Hrs)]]&gt;0, Table1[[#This Row],[Units Completed]]/Table1[[#This Row],[Actual Time (Hrs)]], 0)</f>
        <v>3.0769230769230771</v>
      </c>
      <c r="M56" s="4" t="str">
        <f>_xlfn.IFS(Table1[[#This Row],[Efficiency %]]&gt;=1.1, "Exceeds", Table1[[#This Row],[Efficiency %]]&gt;=0.9, "Meets", Table1[[#This Row],[Efficiency %]]&lt;0.9, "Needs Improvement")</f>
        <v>Needs Improvement</v>
      </c>
      <c r="N56" s="4">
        <f>Table1[[#This Row],[Actual Time (Hrs)]]*Table1[[#This Row],[Hourly Rate (INR)]]</f>
        <v>4290</v>
      </c>
      <c r="O56" s="4">
        <f>(Table1[[#This Row],[Target Time (Hrs)]]*Table1[[#This Row],[Hourly Rate (INR)]])-Table1[[#This Row],[Total Task Cost (INR)]]</f>
        <v>-440</v>
      </c>
    </row>
    <row r="57" spans="1:15" ht="29.25" thickBot="1" x14ac:dyDescent="0.75">
      <c r="A57" s="3">
        <v>45937</v>
      </c>
      <c r="B57" s="4" t="s">
        <v>106</v>
      </c>
      <c r="C57" s="4" t="s">
        <v>60</v>
      </c>
      <c r="D57" s="4" t="s">
        <v>25</v>
      </c>
      <c r="E57" s="4" t="s">
        <v>39</v>
      </c>
      <c r="F57" s="4">
        <v>450</v>
      </c>
      <c r="G57" s="4">
        <v>25</v>
      </c>
      <c r="H57" s="4">
        <v>8</v>
      </c>
      <c r="I57" s="4">
        <v>8.8000000000000007</v>
      </c>
      <c r="J57" s="4">
        <f>Table1[[#This Row],[Target Time (Hrs)]]-Table1[[#This Row],[Actual Time (Hrs)]]</f>
        <v>-0.80000000000000071</v>
      </c>
      <c r="K57" s="5">
        <f>IF(Table1[[#This Row],[Actual Time (Hrs)]]&gt;0, Table1[[#This Row],[Target Time (Hrs)]]/Table1[[#This Row],[Actual Time (Hrs)]], 0)</f>
        <v>0.90909090909090906</v>
      </c>
      <c r="L57" s="9">
        <f>IF(Table1[[#This Row],[Actual Time (Hrs)]]&gt;0, Table1[[#This Row],[Units Completed]]/Table1[[#This Row],[Actual Time (Hrs)]], 0)</f>
        <v>2.8409090909090908</v>
      </c>
      <c r="M57" s="4" t="str">
        <f>_xlfn.IFS(Table1[[#This Row],[Efficiency %]]&gt;=1.1, "Exceeds", Table1[[#This Row],[Efficiency %]]&gt;=0.9, "Meets", Table1[[#This Row],[Efficiency %]]&lt;0.9, "Needs Improvement")</f>
        <v>Meets</v>
      </c>
      <c r="N57" s="4">
        <f>Table1[[#This Row],[Actual Time (Hrs)]]*Table1[[#This Row],[Hourly Rate (INR)]]</f>
        <v>3960.0000000000005</v>
      </c>
      <c r="O57" s="4">
        <f>(Table1[[#This Row],[Target Time (Hrs)]]*Table1[[#This Row],[Hourly Rate (INR)]])-Table1[[#This Row],[Total Task Cost (INR)]]</f>
        <v>-360.00000000000045</v>
      </c>
    </row>
    <row r="58" spans="1:15" ht="29.25" thickBot="1" x14ac:dyDescent="0.75">
      <c r="A58" s="3">
        <v>45936</v>
      </c>
      <c r="B58" s="4" t="s">
        <v>107</v>
      </c>
      <c r="C58" s="4" t="s">
        <v>62</v>
      </c>
      <c r="D58" s="4" t="s">
        <v>29</v>
      </c>
      <c r="E58" s="4" t="s">
        <v>42</v>
      </c>
      <c r="F58" s="4">
        <v>600</v>
      </c>
      <c r="G58" s="4">
        <v>26</v>
      </c>
      <c r="H58" s="4">
        <v>5</v>
      </c>
      <c r="I58" s="4">
        <v>5.9</v>
      </c>
      <c r="J58" s="4">
        <f>Table1[[#This Row],[Target Time (Hrs)]]-Table1[[#This Row],[Actual Time (Hrs)]]</f>
        <v>-0.90000000000000036</v>
      </c>
      <c r="K58" s="5">
        <f>IF(Table1[[#This Row],[Actual Time (Hrs)]]&gt;0, Table1[[#This Row],[Target Time (Hrs)]]/Table1[[#This Row],[Actual Time (Hrs)]], 0)</f>
        <v>0.84745762711864403</v>
      </c>
      <c r="L58" s="9">
        <f>IF(Table1[[#This Row],[Actual Time (Hrs)]]&gt;0, Table1[[#This Row],[Units Completed]]/Table1[[#This Row],[Actual Time (Hrs)]], 0)</f>
        <v>4.406779661016949</v>
      </c>
      <c r="M58" s="4" t="str">
        <f>_xlfn.IFS(Table1[[#This Row],[Efficiency %]]&gt;=1.1, "Exceeds", Table1[[#This Row],[Efficiency %]]&gt;=0.9, "Meets", Table1[[#This Row],[Efficiency %]]&lt;0.9, "Needs Improvement")</f>
        <v>Needs Improvement</v>
      </c>
      <c r="N58" s="4">
        <f>Table1[[#This Row],[Actual Time (Hrs)]]*Table1[[#This Row],[Hourly Rate (INR)]]</f>
        <v>3540</v>
      </c>
      <c r="O58" s="4">
        <f>(Table1[[#This Row],[Target Time (Hrs)]]*Table1[[#This Row],[Hourly Rate (INR)]])-Table1[[#This Row],[Total Task Cost (INR)]]</f>
        <v>-540</v>
      </c>
    </row>
    <row r="59" spans="1:15" ht="29.25" thickBot="1" x14ac:dyDescent="0.75">
      <c r="A59" s="3">
        <v>45935</v>
      </c>
      <c r="B59" s="4" t="s">
        <v>108</v>
      </c>
      <c r="C59" s="4" t="s">
        <v>64</v>
      </c>
      <c r="D59" s="4" t="s">
        <v>17</v>
      </c>
      <c r="E59" s="4" t="s">
        <v>45</v>
      </c>
      <c r="F59" s="4">
        <v>350</v>
      </c>
      <c r="G59" s="4">
        <v>27</v>
      </c>
      <c r="H59" s="4">
        <v>6</v>
      </c>
      <c r="I59" s="4">
        <v>6.9</v>
      </c>
      <c r="J59" s="4">
        <f>Table1[[#This Row],[Target Time (Hrs)]]-Table1[[#This Row],[Actual Time (Hrs)]]</f>
        <v>-0.90000000000000036</v>
      </c>
      <c r="K59" s="5">
        <f>IF(Table1[[#This Row],[Actual Time (Hrs)]]&gt;0, Table1[[#This Row],[Target Time (Hrs)]]/Table1[[#This Row],[Actual Time (Hrs)]], 0)</f>
        <v>0.86956521739130432</v>
      </c>
      <c r="L59" s="9">
        <f>IF(Table1[[#This Row],[Actual Time (Hrs)]]&gt;0, Table1[[#This Row],[Units Completed]]/Table1[[#This Row],[Actual Time (Hrs)]], 0)</f>
        <v>3.9130434782608692</v>
      </c>
      <c r="M59" s="4" t="str">
        <f>_xlfn.IFS(Table1[[#This Row],[Efficiency %]]&gt;=1.1, "Exceeds", Table1[[#This Row],[Efficiency %]]&gt;=0.9, "Meets", Table1[[#This Row],[Efficiency %]]&lt;0.9, "Needs Improvement")</f>
        <v>Needs Improvement</v>
      </c>
      <c r="N59" s="4">
        <f>Table1[[#This Row],[Actual Time (Hrs)]]*Table1[[#This Row],[Hourly Rate (INR)]]</f>
        <v>2415</v>
      </c>
      <c r="O59" s="4">
        <f>(Table1[[#This Row],[Target Time (Hrs)]]*Table1[[#This Row],[Hourly Rate (INR)]])-Table1[[#This Row],[Total Task Cost (INR)]]</f>
        <v>-315</v>
      </c>
    </row>
    <row r="60" spans="1:15" ht="29.25" thickBot="1" x14ac:dyDescent="0.75">
      <c r="A60" s="3">
        <v>45934</v>
      </c>
      <c r="B60" s="4" t="s">
        <v>109</v>
      </c>
      <c r="C60" s="4" t="s">
        <v>66</v>
      </c>
      <c r="D60" s="4" t="s">
        <v>21</v>
      </c>
      <c r="E60" s="4" t="s">
        <v>48</v>
      </c>
      <c r="F60" s="4">
        <v>550</v>
      </c>
      <c r="G60" s="4">
        <v>28</v>
      </c>
      <c r="H60" s="4">
        <v>7</v>
      </c>
      <c r="I60" s="4">
        <v>7.9</v>
      </c>
      <c r="J60" s="4">
        <f>Table1[[#This Row],[Target Time (Hrs)]]-Table1[[#This Row],[Actual Time (Hrs)]]</f>
        <v>-0.90000000000000036</v>
      </c>
      <c r="K60" s="5">
        <f>IF(Table1[[#This Row],[Actual Time (Hrs)]]&gt;0, Table1[[#This Row],[Target Time (Hrs)]]/Table1[[#This Row],[Actual Time (Hrs)]], 0)</f>
        <v>0.88607594936708856</v>
      </c>
      <c r="L60" s="9">
        <f>IF(Table1[[#This Row],[Actual Time (Hrs)]]&gt;0, Table1[[#This Row],[Units Completed]]/Table1[[#This Row],[Actual Time (Hrs)]], 0)</f>
        <v>3.5443037974683542</v>
      </c>
      <c r="M60" s="4" t="str">
        <f>_xlfn.IFS(Table1[[#This Row],[Efficiency %]]&gt;=1.1, "Exceeds", Table1[[#This Row],[Efficiency %]]&gt;=0.9, "Meets", Table1[[#This Row],[Efficiency %]]&lt;0.9, "Needs Improvement")</f>
        <v>Needs Improvement</v>
      </c>
      <c r="N60" s="4">
        <f>Table1[[#This Row],[Actual Time (Hrs)]]*Table1[[#This Row],[Hourly Rate (INR)]]</f>
        <v>4345</v>
      </c>
      <c r="O60" s="4">
        <f>(Table1[[#This Row],[Target Time (Hrs)]]*Table1[[#This Row],[Hourly Rate (INR)]])-Table1[[#This Row],[Total Task Cost (INR)]]</f>
        <v>-495</v>
      </c>
    </row>
    <row r="61" spans="1:15" ht="29.25" thickBot="1" x14ac:dyDescent="0.75">
      <c r="A61" s="3">
        <v>45933</v>
      </c>
      <c r="B61" s="4" t="s">
        <v>110</v>
      </c>
      <c r="C61" s="4" t="s">
        <v>68</v>
      </c>
      <c r="D61" s="4" t="s">
        <v>25</v>
      </c>
      <c r="E61" s="4" t="s">
        <v>51</v>
      </c>
      <c r="F61" s="4">
        <v>450</v>
      </c>
      <c r="G61" s="4">
        <v>29</v>
      </c>
      <c r="H61" s="4">
        <v>8</v>
      </c>
      <c r="I61" s="4">
        <v>8.9</v>
      </c>
      <c r="J61" s="4">
        <f>Table1[[#This Row],[Target Time (Hrs)]]-Table1[[#This Row],[Actual Time (Hrs)]]</f>
        <v>-0.90000000000000036</v>
      </c>
      <c r="K61" s="5">
        <f>IF(Table1[[#This Row],[Actual Time (Hrs)]]&gt;0, Table1[[#This Row],[Target Time (Hrs)]]/Table1[[#This Row],[Actual Time (Hrs)]], 0)</f>
        <v>0.898876404494382</v>
      </c>
      <c r="L61" s="9">
        <f>IF(Table1[[#This Row],[Actual Time (Hrs)]]&gt;0, Table1[[#This Row],[Units Completed]]/Table1[[#This Row],[Actual Time (Hrs)]], 0)</f>
        <v>3.2584269662921348</v>
      </c>
      <c r="M61" s="4" t="str">
        <f>_xlfn.IFS(Table1[[#This Row],[Efficiency %]]&gt;=1.1, "Exceeds", Table1[[#This Row],[Efficiency %]]&gt;=0.9, "Meets", Table1[[#This Row],[Efficiency %]]&lt;0.9, "Needs Improvement")</f>
        <v>Needs Improvement</v>
      </c>
      <c r="N61" s="4">
        <f>Table1[[#This Row],[Actual Time (Hrs)]]*Table1[[#This Row],[Hourly Rate (INR)]]</f>
        <v>4005</v>
      </c>
      <c r="O61" s="4">
        <f>(Table1[[#This Row],[Target Time (Hrs)]]*Table1[[#This Row],[Hourly Rate (INR)]])-Table1[[#This Row],[Total Task Cost (INR)]]</f>
        <v>-405</v>
      </c>
    </row>
    <row r="62" spans="1:15" ht="43.5" thickBot="1" x14ac:dyDescent="0.75">
      <c r="A62" s="3">
        <v>45932</v>
      </c>
      <c r="B62" s="4" t="s">
        <v>111</v>
      </c>
      <c r="C62" s="4" t="s">
        <v>70</v>
      </c>
      <c r="D62" s="4" t="s">
        <v>29</v>
      </c>
      <c r="E62" s="4" t="s">
        <v>54</v>
      </c>
      <c r="F62" s="4">
        <v>600</v>
      </c>
      <c r="G62" s="4">
        <v>30</v>
      </c>
      <c r="H62" s="4">
        <v>5</v>
      </c>
      <c r="I62" s="4">
        <v>6</v>
      </c>
      <c r="J62" s="4">
        <f>Table1[[#This Row],[Target Time (Hrs)]]-Table1[[#This Row],[Actual Time (Hrs)]]</f>
        <v>-1</v>
      </c>
      <c r="K62" s="5">
        <f>IF(Table1[[#This Row],[Actual Time (Hrs)]]&gt;0, Table1[[#This Row],[Target Time (Hrs)]]/Table1[[#This Row],[Actual Time (Hrs)]], 0)</f>
        <v>0.83333333333333337</v>
      </c>
      <c r="L62" s="9">
        <f>IF(Table1[[#This Row],[Actual Time (Hrs)]]&gt;0, Table1[[#This Row],[Units Completed]]/Table1[[#This Row],[Actual Time (Hrs)]], 0)</f>
        <v>5</v>
      </c>
      <c r="M62" s="4" t="str">
        <f>_xlfn.IFS(Table1[[#This Row],[Efficiency %]]&gt;=1.1, "Exceeds", Table1[[#This Row],[Efficiency %]]&gt;=0.9, "Meets", Table1[[#This Row],[Efficiency %]]&lt;0.9, "Needs Improvement")</f>
        <v>Needs Improvement</v>
      </c>
      <c r="N62" s="4">
        <f>Table1[[#This Row],[Actual Time (Hrs)]]*Table1[[#This Row],[Hourly Rate (INR)]]</f>
        <v>3600</v>
      </c>
      <c r="O62" s="4">
        <f>(Table1[[#This Row],[Target Time (Hrs)]]*Table1[[#This Row],[Hourly Rate (INR)]])-Table1[[#This Row],[Total Task Cost (INR)]]</f>
        <v>-600</v>
      </c>
    </row>
    <row r="63" spans="1:15" ht="29.25" thickBot="1" x14ac:dyDescent="0.75">
      <c r="A63" s="3">
        <v>45931</v>
      </c>
      <c r="B63" s="4" t="s">
        <v>112</v>
      </c>
      <c r="C63" s="4" t="s">
        <v>16</v>
      </c>
      <c r="D63" s="4" t="s">
        <v>17</v>
      </c>
      <c r="E63" s="4" t="s">
        <v>18</v>
      </c>
      <c r="F63" s="4">
        <v>350</v>
      </c>
      <c r="G63" s="4">
        <v>31</v>
      </c>
      <c r="H63" s="4">
        <v>6</v>
      </c>
      <c r="I63" s="4">
        <v>7</v>
      </c>
      <c r="J63" s="4">
        <f>Table1[[#This Row],[Target Time (Hrs)]]-Table1[[#This Row],[Actual Time (Hrs)]]</f>
        <v>-1</v>
      </c>
      <c r="K63" s="5">
        <f>IF(Table1[[#This Row],[Actual Time (Hrs)]]&gt;0, Table1[[#This Row],[Target Time (Hrs)]]/Table1[[#This Row],[Actual Time (Hrs)]], 0)</f>
        <v>0.8571428571428571</v>
      </c>
      <c r="L63" s="9">
        <f>IF(Table1[[#This Row],[Actual Time (Hrs)]]&gt;0, Table1[[#This Row],[Units Completed]]/Table1[[#This Row],[Actual Time (Hrs)]], 0)</f>
        <v>4.4285714285714288</v>
      </c>
      <c r="M63" s="4" t="str">
        <f>_xlfn.IFS(Table1[[#This Row],[Efficiency %]]&gt;=1.1, "Exceeds", Table1[[#This Row],[Efficiency %]]&gt;=0.9, "Meets", Table1[[#This Row],[Efficiency %]]&lt;0.9, "Needs Improvement")</f>
        <v>Needs Improvement</v>
      </c>
      <c r="N63" s="4">
        <f>Table1[[#This Row],[Actual Time (Hrs)]]*Table1[[#This Row],[Hourly Rate (INR)]]</f>
        <v>2450</v>
      </c>
      <c r="O63" s="4">
        <f>(Table1[[#This Row],[Target Time (Hrs)]]*Table1[[#This Row],[Hourly Rate (INR)]])-Table1[[#This Row],[Total Task Cost (INR)]]</f>
        <v>-350</v>
      </c>
    </row>
    <row r="64" spans="1:15" ht="29.25" thickBot="1" x14ac:dyDescent="0.75">
      <c r="A64" s="3">
        <v>45961</v>
      </c>
      <c r="B64" s="4" t="s">
        <v>113</v>
      </c>
      <c r="C64" s="4" t="s">
        <v>20</v>
      </c>
      <c r="D64" s="4" t="s">
        <v>21</v>
      </c>
      <c r="E64" s="4" t="s">
        <v>22</v>
      </c>
      <c r="F64" s="4">
        <v>550</v>
      </c>
      <c r="G64" s="4">
        <v>32</v>
      </c>
      <c r="H64" s="4">
        <v>7</v>
      </c>
      <c r="I64" s="4">
        <v>8</v>
      </c>
      <c r="J64" s="4">
        <f>Table1[[#This Row],[Target Time (Hrs)]]-Table1[[#This Row],[Actual Time (Hrs)]]</f>
        <v>-1</v>
      </c>
      <c r="K64" s="5">
        <f>IF(Table1[[#This Row],[Actual Time (Hrs)]]&gt;0, Table1[[#This Row],[Target Time (Hrs)]]/Table1[[#This Row],[Actual Time (Hrs)]], 0)</f>
        <v>0.875</v>
      </c>
      <c r="L64" s="9">
        <f>IF(Table1[[#This Row],[Actual Time (Hrs)]]&gt;0, Table1[[#This Row],[Units Completed]]/Table1[[#This Row],[Actual Time (Hrs)]], 0)</f>
        <v>4</v>
      </c>
      <c r="M64" s="4" t="str">
        <f>_xlfn.IFS(Table1[[#This Row],[Efficiency %]]&gt;=1.1, "Exceeds", Table1[[#This Row],[Efficiency %]]&gt;=0.9, "Meets", Table1[[#This Row],[Efficiency %]]&lt;0.9, "Needs Improvement")</f>
        <v>Needs Improvement</v>
      </c>
      <c r="N64" s="4">
        <f>Table1[[#This Row],[Actual Time (Hrs)]]*Table1[[#This Row],[Hourly Rate (INR)]]</f>
        <v>4400</v>
      </c>
      <c r="O64" s="4">
        <f>(Table1[[#This Row],[Target Time (Hrs)]]*Table1[[#This Row],[Hourly Rate (INR)]])-Table1[[#This Row],[Total Task Cost (INR)]]</f>
        <v>-550</v>
      </c>
    </row>
    <row r="65" spans="1:15" ht="29.25" thickBot="1" x14ac:dyDescent="0.75">
      <c r="A65" s="3">
        <v>45960</v>
      </c>
      <c r="B65" s="4" t="s">
        <v>114</v>
      </c>
      <c r="C65" s="4" t="s">
        <v>24</v>
      </c>
      <c r="D65" s="4" t="s">
        <v>25</v>
      </c>
      <c r="E65" s="4" t="s">
        <v>26</v>
      </c>
      <c r="F65" s="4">
        <v>450</v>
      </c>
      <c r="G65" s="4">
        <v>33</v>
      </c>
      <c r="H65" s="4">
        <v>8</v>
      </c>
      <c r="I65" s="4">
        <v>9</v>
      </c>
      <c r="J65" s="4">
        <f>Table1[[#This Row],[Target Time (Hrs)]]-Table1[[#This Row],[Actual Time (Hrs)]]</f>
        <v>-1</v>
      </c>
      <c r="K65" s="5">
        <f>IF(Table1[[#This Row],[Actual Time (Hrs)]]&gt;0, Table1[[#This Row],[Target Time (Hrs)]]/Table1[[#This Row],[Actual Time (Hrs)]], 0)</f>
        <v>0.88888888888888884</v>
      </c>
      <c r="L65" s="9">
        <f>IF(Table1[[#This Row],[Actual Time (Hrs)]]&gt;0, Table1[[#This Row],[Units Completed]]/Table1[[#This Row],[Actual Time (Hrs)]], 0)</f>
        <v>3.6666666666666665</v>
      </c>
      <c r="M65" s="4" t="str">
        <f>_xlfn.IFS(Table1[[#This Row],[Efficiency %]]&gt;=1.1, "Exceeds", Table1[[#This Row],[Efficiency %]]&gt;=0.9, "Meets", Table1[[#This Row],[Efficiency %]]&lt;0.9, "Needs Improvement")</f>
        <v>Needs Improvement</v>
      </c>
      <c r="N65" s="4">
        <f>Table1[[#This Row],[Actual Time (Hrs)]]*Table1[[#This Row],[Hourly Rate (INR)]]</f>
        <v>4050</v>
      </c>
      <c r="O65" s="4">
        <f>(Table1[[#This Row],[Target Time (Hrs)]]*Table1[[#This Row],[Hourly Rate (INR)]])-Table1[[#This Row],[Total Task Cost (INR)]]</f>
        <v>-450</v>
      </c>
    </row>
    <row r="66" spans="1:15" ht="29.25" thickBot="1" x14ac:dyDescent="0.75">
      <c r="A66" s="3">
        <v>45959</v>
      </c>
      <c r="B66" s="4" t="s">
        <v>115</v>
      </c>
      <c r="C66" s="4" t="s">
        <v>28</v>
      </c>
      <c r="D66" s="4" t="s">
        <v>29</v>
      </c>
      <c r="E66" s="4" t="s">
        <v>30</v>
      </c>
      <c r="F66" s="4">
        <v>600</v>
      </c>
      <c r="G66" s="4">
        <v>34</v>
      </c>
      <c r="H66" s="4">
        <v>5</v>
      </c>
      <c r="I66" s="4">
        <v>6.1</v>
      </c>
      <c r="J66" s="4">
        <f>Table1[[#This Row],[Target Time (Hrs)]]-Table1[[#This Row],[Actual Time (Hrs)]]</f>
        <v>-1.0999999999999996</v>
      </c>
      <c r="K66" s="5">
        <f>IF(Table1[[#This Row],[Actual Time (Hrs)]]&gt;0, Table1[[#This Row],[Target Time (Hrs)]]/Table1[[#This Row],[Actual Time (Hrs)]], 0)</f>
        <v>0.81967213114754101</v>
      </c>
      <c r="L66" s="9">
        <f>IF(Table1[[#This Row],[Actual Time (Hrs)]]&gt;0, Table1[[#This Row],[Units Completed]]/Table1[[#This Row],[Actual Time (Hrs)]], 0)</f>
        <v>5.5737704918032787</v>
      </c>
      <c r="M66" s="4" t="str">
        <f>_xlfn.IFS(Table1[[#This Row],[Efficiency %]]&gt;=1.1, "Exceeds", Table1[[#This Row],[Efficiency %]]&gt;=0.9, "Meets", Table1[[#This Row],[Efficiency %]]&lt;0.9, "Needs Improvement")</f>
        <v>Needs Improvement</v>
      </c>
      <c r="N66" s="4">
        <f>Table1[[#This Row],[Actual Time (Hrs)]]*Table1[[#This Row],[Hourly Rate (INR)]]</f>
        <v>3660</v>
      </c>
      <c r="O66" s="4">
        <f>(Table1[[#This Row],[Target Time (Hrs)]]*Table1[[#This Row],[Hourly Rate (INR)]])-Table1[[#This Row],[Total Task Cost (INR)]]</f>
        <v>-660</v>
      </c>
    </row>
    <row r="67" spans="1:15" ht="29.25" thickBot="1" x14ac:dyDescent="0.75">
      <c r="A67" s="3">
        <v>45958</v>
      </c>
      <c r="B67" s="4" t="s">
        <v>116</v>
      </c>
      <c r="C67" s="4" t="s">
        <v>32</v>
      </c>
      <c r="D67" s="4" t="s">
        <v>17</v>
      </c>
      <c r="E67" s="4" t="s">
        <v>33</v>
      </c>
      <c r="F67" s="4">
        <v>350</v>
      </c>
      <c r="G67" s="4">
        <v>35</v>
      </c>
      <c r="H67" s="4">
        <v>6</v>
      </c>
      <c r="I67" s="4">
        <v>7.1</v>
      </c>
      <c r="J67" s="4">
        <f>Table1[[#This Row],[Target Time (Hrs)]]-Table1[[#This Row],[Actual Time (Hrs)]]</f>
        <v>-1.0999999999999996</v>
      </c>
      <c r="K67" s="5">
        <f>IF(Table1[[#This Row],[Actual Time (Hrs)]]&gt;0, Table1[[#This Row],[Target Time (Hrs)]]/Table1[[#This Row],[Actual Time (Hrs)]], 0)</f>
        <v>0.84507042253521136</v>
      </c>
      <c r="L67" s="9">
        <f>IF(Table1[[#This Row],[Actual Time (Hrs)]]&gt;0, Table1[[#This Row],[Units Completed]]/Table1[[#This Row],[Actual Time (Hrs)]], 0)</f>
        <v>4.9295774647887329</v>
      </c>
      <c r="M67" s="4" t="str">
        <f>_xlfn.IFS(Table1[[#This Row],[Efficiency %]]&gt;=1.1, "Exceeds", Table1[[#This Row],[Efficiency %]]&gt;=0.9, "Meets", Table1[[#This Row],[Efficiency %]]&lt;0.9, "Needs Improvement")</f>
        <v>Needs Improvement</v>
      </c>
      <c r="N67" s="4">
        <f>Table1[[#This Row],[Actual Time (Hrs)]]*Table1[[#This Row],[Hourly Rate (INR)]]</f>
        <v>2485</v>
      </c>
      <c r="O67" s="4">
        <f>(Table1[[#This Row],[Target Time (Hrs)]]*Table1[[#This Row],[Hourly Rate (INR)]])-Table1[[#This Row],[Total Task Cost (INR)]]</f>
        <v>-385</v>
      </c>
    </row>
    <row r="68" spans="1:15" ht="29.25" thickBot="1" x14ac:dyDescent="0.75">
      <c r="A68" s="3">
        <v>45957</v>
      </c>
      <c r="B68" s="4" t="s">
        <v>117</v>
      </c>
      <c r="C68" s="4" t="s">
        <v>35</v>
      </c>
      <c r="D68" s="4" t="s">
        <v>21</v>
      </c>
      <c r="E68" s="4" t="s">
        <v>36</v>
      </c>
      <c r="F68" s="4">
        <v>550</v>
      </c>
      <c r="G68" s="4">
        <v>36</v>
      </c>
      <c r="H68" s="4">
        <v>7</v>
      </c>
      <c r="I68" s="4">
        <v>8.1</v>
      </c>
      <c r="J68" s="4">
        <f>Table1[[#This Row],[Target Time (Hrs)]]-Table1[[#This Row],[Actual Time (Hrs)]]</f>
        <v>-1.0999999999999996</v>
      </c>
      <c r="K68" s="5">
        <f>IF(Table1[[#This Row],[Actual Time (Hrs)]]&gt;0, Table1[[#This Row],[Target Time (Hrs)]]/Table1[[#This Row],[Actual Time (Hrs)]], 0)</f>
        <v>0.86419753086419759</v>
      </c>
      <c r="L68" s="9">
        <f>IF(Table1[[#This Row],[Actual Time (Hrs)]]&gt;0, Table1[[#This Row],[Units Completed]]/Table1[[#This Row],[Actual Time (Hrs)]], 0)</f>
        <v>4.4444444444444446</v>
      </c>
      <c r="M68" s="4" t="str">
        <f>_xlfn.IFS(Table1[[#This Row],[Efficiency %]]&gt;=1.1, "Exceeds", Table1[[#This Row],[Efficiency %]]&gt;=0.9, "Meets", Table1[[#This Row],[Efficiency %]]&lt;0.9, "Needs Improvement")</f>
        <v>Needs Improvement</v>
      </c>
      <c r="N68" s="4">
        <f>Table1[[#This Row],[Actual Time (Hrs)]]*Table1[[#This Row],[Hourly Rate (INR)]]</f>
        <v>4455</v>
      </c>
      <c r="O68" s="4">
        <f>(Table1[[#This Row],[Target Time (Hrs)]]*Table1[[#This Row],[Hourly Rate (INR)]])-Table1[[#This Row],[Total Task Cost (INR)]]</f>
        <v>-605</v>
      </c>
    </row>
    <row r="69" spans="1:15" ht="29.25" thickBot="1" x14ac:dyDescent="0.75">
      <c r="A69" s="3">
        <v>45956</v>
      </c>
      <c r="B69" s="4" t="s">
        <v>118</v>
      </c>
      <c r="C69" s="4" t="s">
        <v>38</v>
      </c>
      <c r="D69" s="4" t="s">
        <v>25</v>
      </c>
      <c r="E69" s="4" t="s">
        <v>39</v>
      </c>
      <c r="F69" s="4">
        <v>450</v>
      </c>
      <c r="G69" s="4">
        <v>37</v>
      </c>
      <c r="H69" s="4">
        <v>8</v>
      </c>
      <c r="I69" s="4">
        <v>9.1</v>
      </c>
      <c r="J69" s="4">
        <f>Table1[[#This Row],[Target Time (Hrs)]]-Table1[[#This Row],[Actual Time (Hrs)]]</f>
        <v>-1.0999999999999996</v>
      </c>
      <c r="K69" s="5">
        <f>IF(Table1[[#This Row],[Actual Time (Hrs)]]&gt;0, Table1[[#This Row],[Target Time (Hrs)]]/Table1[[#This Row],[Actual Time (Hrs)]], 0)</f>
        <v>0.87912087912087911</v>
      </c>
      <c r="L69" s="9">
        <f>IF(Table1[[#This Row],[Actual Time (Hrs)]]&gt;0, Table1[[#This Row],[Units Completed]]/Table1[[#This Row],[Actual Time (Hrs)]], 0)</f>
        <v>4.0659340659340657</v>
      </c>
      <c r="M69" s="4" t="str">
        <f>_xlfn.IFS(Table1[[#This Row],[Efficiency %]]&gt;=1.1, "Exceeds", Table1[[#This Row],[Efficiency %]]&gt;=0.9, "Meets", Table1[[#This Row],[Efficiency %]]&lt;0.9, "Needs Improvement")</f>
        <v>Needs Improvement</v>
      </c>
      <c r="N69" s="4">
        <f>Table1[[#This Row],[Actual Time (Hrs)]]*Table1[[#This Row],[Hourly Rate (INR)]]</f>
        <v>4095</v>
      </c>
      <c r="O69" s="4">
        <f>(Table1[[#This Row],[Target Time (Hrs)]]*Table1[[#This Row],[Hourly Rate (INR)]])-Table1[[#This Row],[Total Task Cost (INR)]]</f>
        <v>-495</v>
      </c>
    </row>
    <row r="70" spans="1:15" ht="29.25" thickBot="1" x14ac:dyDescent="0.75">
      <c r="A70" s="3">
        <v>45955</v>
      </c>
      <c r="B70" s="4" t="s">
        <v>119</v>
      </c>
      <c r="C70" s="4" t="s">
        <v>41</v>
      </c>
      <c r="D70" s="4" t="s">
        <v>29</v>
      </c>
      <c r="E70" s="4" t="s">
        <v>42</v>
      </c>
      <c r="F70" s="4">
        <v>600</v>
      </c>
      <c r="G70" s="4">
        <v>38</v>
      </c>
      <c r="H70" s="4">
        <v>5</v>
      </c>
      <c r="I70" s="4">
        <v>6.2</v>
      </c>
      <c r="J70" s="4">
        <f>Table1[[#This Row],[Target Time (Hrs)]]-Table1[[#This Row],[Actual Time (Hrs)]]</f>
        <v>-1.2000000000000002</v>
      </c>
      <c r="K70" s="5">
        <f>IF(Table1[[#This Row],[Actual Time (Hrs)]]&gt;0, Table1[[#This Row],[Target Time (Hrs)]]/Table1[[#This Row],[Actual Time (Hrs)]], 0)</f>
        <v>0.80645161290322576</v>
      </c>
      <c r="L70" s="9">
        <f>IF(Table1[[#This Row],[Actual Time (Hrs)]]&gt;0, Table1[[#This Row],[Units Completed]]/Table1[[#This Row],[Actual Time (Hrs)]], 0)</f>
        <v>6.129032258064516</v>
      </c>
      <c r="M70" s="4" t="str">
        <f>_xlfn.IFS(Table1[[#This Row],[Efficiency %]]&gt;=1.1, "Exceeds", Table1[[#This Row],[Efficiency %]]&gt;=0.9, "Meets", Table1[[#This Row],[Efficiency %]]&lt;0.9, "Needs Improvement")</f>
        <v>Needs Improvement</v>
      </c>
      <c r="N70" s="4">
        <f>Table1[[#This Row],[Actual Time (Hrs)]]*Table1[[#This Row],[Hourly Rate (INR)]]</f>
        <v>3720</v>
      </c>
      <c r="O70" s="4">
        <f>(Table1[[#This Row],[Target Time (Hrs)]]*Table1[[#This Row],[Hourly Rate (INR)]])-Table1[[#This Row],[Total Task Cost (INR)]]</f>
        <v>-720</v>
      </c>
    </row>
    <row r="71" spans="1:15" ht="29.25" thickBot="1" x14ac:dyDescent="0.75">
      <c r="A71" s="3">
        <v>45954</v>
      </c>
      <c r="B71" s="4" t="s">
        <v>120</v>
      </c>
      <c r="C71" s="4" t="s">
        <v>44</v>
      </c>
      <c r="D71" s="4" t="s">
        <v>17</v>
      </c>
      <c r="E71" s="4" t="s">
        <v>45</v>
      </c>
      <c r="F71" s="4">
        <v>350</v>
      </c>
      <c r="G71" s="4">
        <v>39</v>
      </c>
      <c r="H71" s="4">
        <v>6</v>
      </c>
      <c r="I71" s="4">
        <v>7.2</v>
      </c>
      <c r="J71" s="4">
        <f>Table1[[#This Row],[Target Time (Hrs)]]-Table1[[#This Row],[Actual Time (Hrs)]]</f>
        <v>-1.2000000000000002</v>
      </c>
      <c r="K71" s="5">
        <f>IF(Table1[[#This Row],[Actual Time (Hrs)]]&gt;0, Table1[[#This Row],[Target Time (Hrs)]]/Table1[[#This Row],[Actual Time (Hrs)]], 0)</f>
        <v>0.83333333333333326</v>
      </c>
      <c r="L71" s="9">
        <f>IF(Table1[[#This Row],[Actual Time (Hrs)]]&gt;0, Table1[[#This Row],[Units Completed]]/Table1[[#This Row],[Actual Time (Hrs)]], 0)</f>
        <v>5.416666666666667</v>
      </c>
      <c r="M71" s="4" t="str">
        <f>_xlfn.IFS(Table1[[#This Row],[Efficiency %]]&gt;=1.1, "Exceeds", Table1[[#This Row],[Efficiency %]]&gt;=0.9, "Meets", Table1[[#This Row],[Efficiency %]]&lt;0.9, "Needs Improvement")</f>
        <v>Needs Improvement</v>
      </c>
      <c r="N71" s="4">
        <f>Table1[[#This Row],[Actual Time (Hrs)]]*Table1[[#This Row],[Hourly Rate (INR)]]</f>
        <v>2520</v>
      </c>
      <c r="O71" s="4">
        <f>(Table1[[#This Row],[Target Time (Hrs)]]*Table1[[#This Row],[Hourly Rate (INR)]])-Table1[[#This Row],[Total Task Cost (INR)]]</f>
        <v>-420</v>
      </c>
    </row>
    <row r="72" spans="1:15" ht="29.25" thickBot="1" x14ac:dyDescent="0.75">
      <c r="A72" s="3">
        <v>45953</v>
      </c>
      <c r="B72" s="4" t="s">
        <v>121</v>
      </c>
      <c r="C72" s="4" t="s">
        <v>47</v>
      </c>
      <c r="D72" s="4" t="s">
        <v>21</v>
      </c>
      <c r="E72" s="4" t="s">
        <v>48</v>
      </c>
      <c r="F72" s="4">
        <v>550</v>
      </c>
      <c r="G72" s="4">
        <v>40</v>
      </c>
      <c r="H72" s="4">
        <v>7</v>
      </c>
      <c r="I72" s="4">
        <v>8.1999999999999993</v>
      </c>
      <c r="J72" s="4">
        <f>Table1[[#This Row],[Target Time (Hrs)]]-Table1[[#This Row],[Actual Time (Hrs)]]</f>
        <v>-1.1999999999999993</v>
      </c>
      <c r="K72" s="5">
        <f>IF(Table1[[#This Row],[Actual Time (Hrs)]]&gt;0, Table1[[#This Row],[Target Time (Hrs)]]/Table1[[#This Row],[Actual Time (Hrs)]], 0)</f>
        <v>0.85365853658536595</v>
      </c>
      <c r="L72" s="9">
        <f>IF(Table1[[#This Row],[Actual Time (Hrs)]]&gt;0, Table1[[#This Row],[Units Completed]]/Table1[[#This Row],[Actual Time (Hrs)]], 0)</f>
        <v>4.8780487804878057</v>
      </c>
      <c r="M72" s="4" t="str">
        <f>_xlfn.IFS(Table1[[#This Row],[Efficiency %]]&gt;=1.1, "Exceeds", Table1[[#This Row],[Efficiency %]]&gt;=0.9, "Meets", Table1[[#This Row],[Efficiency %]]&lt;0.9, "Needs Improvement")</f>
        <v>Needs Improvement</v>
      </c>
      <c r="N72" s="4">
        <f>Table1[[#This Row],[Actual Time (Hrs)]]*Table1[[#This Row],[Hourly Rate (INR)]]</f>
        <v>4510</v>
      </c>
      <c r="O72" s="4">
        <f>(Table1[[#This Row],[Target Time (Hrs)]]*Table1[[#This Row],[Hourly Rate (INR)]])-Table1[[#This Row],[Total Task Cost (INR)]]</f>
        <v>-660</v>
      </c>
    </row>
    <row r="73" spans="1:15" ht="29.25" thickBot="1" x14ac:dyDescent="0.75">
      <c r="A73" s="3">
        <v>45952</v>
      </c>
      <c r="B73" s="4" t="s">
        <v>122</v>
      </c>
      <c r="C73" s="4" t="s">
        <v>50</v>
      </c>
      <c r="D73" s="4" t="s">
        <v>25</v>
      </c>
      <c r="E73" s="4" t="s">
        <v>51</v>
      </c>
      <c r="F73" s="4">
        <v>450</v>
      </c>
      <c r="G73" s="4">
        <v>41</v>
      </c>
      <c r="H73" s="4">
        <v>8</v>
      </c>
      <c r="I73" s="4">
        <v>9.1999999999999993</v>
      </c>
      <c r="J73" s="4">
        <f>Table1[[#This Row],[Target Time (Hrs)]]-Table1[[#This Row],[Actual Time (Hrs)]]</f>
        <v>-1.1999999999999993</v>
      </c>
      <c r="K73" s="5">
        <f>IF(Table1[[#This Row],[Actual Time (Hrs)]]&gt;0, Table1[[#This Row],[Target Time (Hrs)]]/Table1[[#This Row],[Actual Time (Hrs)]], 0)</f>
        <v>0.86956521739130443</v>
      </c>
      <c r="L73" s="9">
        <f>IF(Table1[[#This Row],[Actual Time (Hrs)]]&gt;0, Table1[[#This Row],[Units Completed]]/Table1[[#This Row],[Actual Time (Hrs)]], 0)</f>
        <v>4.4565217391304355</v>
      </c>
      <c r="M73" s="4" t="str">
        <f>_xlfn.IFS(Table1[[#This Row],[Efficiency %]]&gt;=1.1, "Exceeds", Table1[[#This Row],[Efficiency %]]&gt;=0.9, "Meets", Table1[[#This Row],[Efficiency %]]&lt;0.9, "Needs Improvement")</f>
        <v>Needs Improvement</v>
      </c>
      <c r="N73" s="4">
        <f>Table1[[#This Row],[Actual Time (Hrs)]]*Table1[[#This Row],[Hourly Rate (INR)]]</f>
        <v>4140</v>
      </c>
      <c r="O73" s="4">
        <f>(Table1[[#This Row],[Target Time (Hrs)]]*Table1[[#This Row],[Hourly Rate (INR)]])-Table1[[#This Row],[Total Task Cost (INR)]]</f>
        <v>-540</v>
      </c>
    </row>
    <row r="74" spans="1:15" ht="43.5" thickBot="1" x14ac:dyDescent="0.75">
      <c r="A74" s="3">
        <v>45951</v>
      </c>
      <c r="B74" s="4" t="s">
        <v>123</v>
      </c>
      <c r="C74" s="4" t="s">
        <v>53</v>
      </c>
      <c r="D74" s="4" t="s">
        <v>29</v>
      </c>
      <c r="E74" s="4" t="s">
        <v>54</v>
      </c>
      <c r="F74" s="4">
        <v>600</v>
      </c>
      <c r="G74" s="4">
        <v>42</v>
      </c>
      <c r="H74" s="4">
        <v>5</v>
      </c>
      <c r="I74" s="4">
        <v>6.3</v>
      </c>
      <c r="J74" s="4">
        <f>Table1[[#This Row],[Target Time (Hrs)]]-Table1[[#This Row],[Actual Time (Hrs)]]</f>
        <v>-1.2999999999999998</v>
      </c>
      <c r="K74" s="5">
        <f>IF(Table1[[#This Row],[Actual Time (Hrs)]]&gt;0, Table1[[#This Row],[Target Time (Hrs)]]/Table1[[#This Row],[Actual Time (Hrs)]], 0)</f>
        <v>0.79365079365079372</v>
      </c>
      <c r="L74" s="9">
        <f>IF(Table1[[#This Row],[Actual Time (Hrs)]]&gt;0, Table1[[#This Row],[Units Completed]]/Table1[[#This Row],[Actual Time (Hrs)]], 0)</f>
        <v>6.666666666666667</v>
      </c>
      <c r="M74" s="4" t="str">
        <f>_xlfn.IFS(Table1[[#This Row],[Efficiency %]]&gt;=1.1, "Exceeds", Table1[[#This Row],[Efficiency %]]&gt;=0.9, "Meets", Table1[[#This Row],[Efficiency %]]&lt;0.9, "Needs Improvement")</f>
        <v>Needs Improvement</v>
      </c>
      <c r="N74" s="4">
        <f>Table1[[#This Row],[Actual Time (Hrs)]]*Table1[[#This Row],[Hourly Rate (INR)]]</f>
        <v>3780</v>
      </c>
      <c r="O74" s="4">
        <f>(Table1[[#This Row],[Target Time (Hrs)]]*Table1[[#This Row],[Hourly Rate (INR)]])-Table1[[#This Row],[Total Task Cost (INR)]]</f>
        <v>-780</v>
      </c>
    </row>
    <row r="75" spans="1:15" ht="29.25" thickBot="1" x14ac:dyDescent="0.75">
      <c r="A75" s="3">
        <v>45950</v>
      </c>
      <c r="B75" s="4" t="s">
        <v>124</v>
      </c>
      <c r="C75" s="4" t="s">
        <v>56</v>
      </c>
      <c r="D75" s="4" t="s">
        <v>17</v>
      </c>
      <c r="E75" s="4" t="s">
        <v>18</v>
      </c>
      <c r="F75" s="4">
        <v>350</v>
      </c>
      <c r="G75" s="4">
        <v>43</v>
      </c>
      <c r="H75" s="4">
        <v>6</v>
      </c>
      <c r="I75" s="4">
        <v>7.3</v>
      </c>
      <c r="J75" s="4">
        <f>Table1[[#This Row],[Target Time (Hrs)]]-Table1[[#This Row],[Actual Time (Hrs)]]</f>
        <v>-1.2999999999999998</v>
      </c>
      <c r="K75" s="5">
        <f>IF(Table1[[#This Row],[Actual Time (Hrs)]]&gt;0, Table1[[#This Row],[Target Time (Hrs)]]/Table1[[#This Row],[Actual Time (Hrs)]], 0)</f>
        <v>0.82191780821917815</v>
      </c>
      <c r="L75" s="9">
        <f>IF(Table1[[#This Row],[Actual Time (Hrs)]]&gt;0, Table1[[#This Row],[Units Completed]]/Table1[[#This Row],[Actual Time (Hrs)]], 0)</f>
        <v>5.89041095890411</v>
      </c>
      <c r="M75" s="4" t="str">
        <f>_xlfn.IFS(Table1[[#This Row],[Efficiency %]]&gt;=1.1, "Exceeds", Table1[[#This Row],[Efficiency %]]&gt;=0.9, "Meets", Table1[[#This Row],[Efficiency %]]&lt;0.9, "Needs Improvement")</f>
        <v>Needs Improvement</v>
      </c>
      <c r="N75" s="4">
        <f>Table1[[#This Row],[Actual Time (Hrs)]]*Table1[[#This Row],[Hourly Rate (INR)]]</f>
        <v>2555</v>
      </c>
      <c r="O75" s="4">
        <f>(Table1[[#This Row],[Target Time (Hrs)]]*Table1[[#This Row],[Hourly Rate (INR)]])-Table1[[#This Row],[Total Task Cost (INR)]]</f>
        <v>-455</v>
      </c>
    </row>
    <row r="76" spans="1:15" ht="29.25" thickBot="1" x14ac:dyDescent="0.75">
      <c r="A76" s="3">
        <v>45949</v>
      </c>
      <c r="B76" s="4" t="s">
        <v>125</v>
      </c>
      <c r="C76" s="4" t="s">
        <v>58</v>
      </c>
      <c r="D76" s="4" t="s">
        <v>21</v>
      </c>
      <c r="E76" s="4" t="s">
        <v>22</v>
      </c>
      <c r="F76" s="4">
        <v>550</v>
      </c>
      <c r="G76" s="4">
        <v>44</v>
      </c>
      <c r="H76" s="4">
        <v>7</v>
      </c>
      <c r="I76" s="4">
        <v>8.4</v>
      </c>
      <c r="J76" s="4">
        <f>Table1[[#This Row],[Target Time (Hrs)]]-Table1[[#This Row],[Actual Time (Hrs)]]</f>
        <v>-1.4000000000000004</v>
      </c>
      <c r="K76" s="5">
        <f>IF(Table1[[#This Row],[Actual Time (Hrs)]]&gt;0, Table1[[#This Row],[Target Time (Hrs)]]/Table1[[#This Row],[Actual Time (Hrs)]], 0)</f>
        <v>0.83333333333333326</v>
      </c>
      <c r="L76" s="9">
        <f>IF(Table1[[#This Row],[Actual Time (Hrs)]]&gt;0, Table1[[#This Row],[Units Completed]]/Table1[[#This Row],[Actual Time (Hrs)]], 0)</f>
        <v>5.2380952380952381</v>
      </c>
      <c r="M76" s="4" t="str">
        <f>_xlfn.IFS(Table1[[#This Row],[Efficiency %]]&gt;=1.1, "Exceeds", Table1[[#This Row],[Efficiency %]]&gt;=0.9, "Meets", Table1[[#This Row],[Efficiency %]]&lt;0.9, "Needs Improvement")</f>
        <v>Needs Improvement</v>
      </c>
      <c r="N76" s="4">
        <f>Table1[[#This Row],[Actual Time (Hrs)]]*Table1[[#This Row],[Hourly Rate (INR)]]</f>
        <v>4620</v>
      </c>
      <c r="O76" s="4">
        <f>(Table1[[#This Row],[Target Time (Hrs)]]*Table1[[#This Row],[Hourly Rate (INR)]])-Table1[[#This Row],[Total Task Cost (INR)]]</f>
        <v>-770</v>
      </c>
    </row>
    <row r="77" spans="1:15" ht="29.25" thickBot="1" x14ac:dyDescent="0.75">
      <c r="A77" s="3">
        <v>45948</v>
      </c>
      <c r="B77" s="4" t="s">
        <v>126</v>
      </c>
      <c r="C77" s="4" t="s">
        <v>60</v>
      </c>
      <c r="D77" s="4" t="s">
        <v>25</v>
      </c>
      <c r="E77" s="4" t="s">
        <v>26</v>
      </c>
      <c r="F77" s="4">
        <v>450</v>
      </c>
      <c r="G77" s="4">
        <v>45</v>
      </c>
      <c r="H77" s="4">
        <v>8</v>
      </c>
      <c r="I77" s="4">
        <v>9.4</v>
      </c>
      <c r="J77" s="4">
        <f>Table1[[#This Row],[Target Time (Hrs)]]-Table1[[#This Row],[Actual Time (Hrs)]]</f>
        <v>-1.4000000000000004</v>
      </c>
      <c r="K77" s="5">
        <f>IF(Table1[[#This Row],[Actual Time (Hrs)]]&gt;0, Table1[[#This Row],[Target Time (Hrs)]]/Table1[[#This Row],[Actual Time (Hrs)]], 0)</f>
        <v>0.85106382978723405</v>
      </c>
      <c r="L77" s="9">
        <f>IF(Table1[[#This Row],[Actual Time (Hrs)]]&gt;0, Table1[[#This Row],[Units Completed]]/Table1[[#This Row],[Actual Time (Hrs)]], 0)</f>
        <v>4.787234042553191</v>
      </c>
      <c r="M77" s="4" t="str">
        <f>_xlfn.IFS(Table1[[#This Row],[Efficiency %]]&gt;=1.1, "Exceeds", Table1[[#This Row],[Efficiency %]]&gt;=0.9, "Meets", Table1[[#This Row],[Efficiency %]]&lt;0.9, "Needs Improvement")</f>
        <v>Needs Improvement</v>
      </c>
      <c r="N77" s="4">
        <f>Table1[[#This Row],[Actual Time (Hrs)]]*Table1[[#This Row],[Hourly Rate (INR)]]</f>
        <v>4230</v>
      </c>
      <c r="O77" s="4">
        <f>(Table1[[#This Row],[Target Time (Hrs)]]*Table1[[#This Row],[Hourly Rate (INR)]])-Table1[[#This Row],[Total Task Cost (INR)]]</f>
        <v>-630</v>
      </c>
    </row>
    <row r="78" spans="1:15" ht="29.25" thickBot="1" x14ac:dyDescent="0.75">
      <c r="A78" s="3">
        <v>45947</v>
      </c>
      <c r="B78" s="4" t="s">
        <v>127</v>
      </c>
      <c r="C78" s="4" t="s">
        <v>62</v>
      </c>
      <c r="D78" s="4" t="s">
        <v>29</v>
      </c>
      <c r="E78" s="4" t="s">
        <v>30</v>
      </c>
      <c r="F78" s="4">
        <v>600</v>
      </c>
      <c r="G78" s="4">
        <v>46</v>
      </c>
      <c r="H78" s="4">
        <v>5</v>
      </c>
      <c r="I78" s="4">
        <v>6.4</v>
      </c>
      <c r="J78" s="4">
        <f>Table1[[#This Row],[Target Time (Hrs)]]-Table1[[#This Row],[Actual Time (Hrs)]]</f>
        <v>-1.4000000000000004</v>
      </c>
      <c r="K78" s="5">
        <f>IF(Table1[[#This Row],[Actual Time (Hrs)]]&gt;0, Table1[[#This Row],[Target Time (Hrs)]]/Table1[[#This Row],[Actual Time (Hrs)]], 0)</f>
        <v>0.78125</v>
      </c>
      <c r="L78" s="9">
        <f>IF(Table1[[#This Row],[Actual Time (Hrs)]]&gt;0, Table1[[#This Row],[Units Completed]]/Table1[[#This Row],[Actual Time (Hrs)]], 0)</f>
        <v>7.1875</v>
      </c>
      <c r="M78" s="4" t="str">
        <f>_xlfn.IFS(Table1[[#This Row],[Efficiency %]]&gt;=1.1, "Exceeds", Table1[[#This Row],[Efficiency %]]&gt;=0.9, "Meets", Table1[[#This Row],[Efficiency %]]&lt;0.9, "Needs Improvement")</f>
        <v>Needs Improvement</v>
      </c>
      <c r="N78" s="4">
        <f>Table1[[#This Row],[Actual Time (Hrs)]]*Table1[[#This Row],[Hourly Rate (INR)]]</f>
        <v>3840</v>
      </c>
      <c r="O78" s="4">
        <f>(Table1[[#This Row],[Target Time (Hrs)]]*Table1[[#This Row],[Hourly Rate (INR)]])-Table1[[#This Row],[Total Task Cost (INR)]]</f>
        <v>-840</v>
      </c>
    </row>
    <row r="79" spans="1:15" ht="29.25" thickBot="1" x14ac:dyDescent="0.75">
      <c r="A79" s="3">
        <v>45946</v>
      </c>
      <c r="B79" s="4" t="s">
        <v>128</v>
      </c>
      <c r="C79" s="4" t="s">
        <v>64</v>
      </c>
      <c r="D79" s="4" t="s">
        <v>17</v>
      </c>
      <c r="E79" s="4" t="s">
        <v>33</v>
      </c>
      <c r="F79" s="4">
        <v>350</v>
      </c>
      <c r="G79" s="4">
        <v>47</v>
      </c>
      <c r="H79" s="4">
        <v>6</v>
      </c>
      <c r="I79" s="4">
        <v>7.4</v>
      </c>
      <c r="J79" s="4">
        <f>Table1[[#This Row],[Target Time (Hrs)]]-Table1[[#This Row],[Actual Time (Hrs)]]</f>
        <v>-1.4000000000000004</v>
      </c>
      <c r="K79" s="5">
        <f>IF(Table1[[#This Row],[Actual Time (Hrs)]]&gt;0, Table1[[#This Row],[Target Time (Hrs)]]/Table1[[#This Row],[Actual Time (Hrs)]], 0)</f>
        <v>0.81081081081081074</v>
      </c>
      <c r="L79" s="9">
        <f>IF(Table1[[#This Row],[Actual Time (Hrs)]]&gt;0, Table1[[#This Row],[Units Completed]]/Table1[[#This Row],[Actual Time (Hrs)]], 0)</f>
        <v>6.3513513513513509</v>
      </c>
      <c r="M79" s="4" t="str">
        <f>_xlfn.IFS(Table1[[#This Row],[Efficiency %]]&gt;=1.1, "Exceeds", Table1[[#This Row],[Efficiency %]]&gt;=0.9, "Meets", Table1[[#This Row],[Efficiency %]]&lt;0.9, "Needs Improvement")</f>
        <v>Needs Improvement</v>
      </c>
      <c r="N79" s="4">
        <f>Table1[[#This Row],[Actual Time (Hrs)]]*Table1[[#This Row],[Hourly Rate (INR)]]</f>
        <v>2590</v>
      </c>
      <c r="O79" s="4">
        <f>(Table1[[#This Row],[Target Time (Hrs)]]*Table1[[#This Row],[Hourly Rate (INR)]])-Table1[[#This Row],[Total Task Cost (INR)]]</f>
        <v>-490</v>
      </c>
    </row>
    <row r="80" spans="1:15" ht="29.25" thickBot="1" x14ac:dyDescent="0.75">
      <c r="A80" s="3">
        <v>45945</v>
      </c>
      <c r="B80" s="4" t="s">
        <v>129</v>
      </c>
      <c r="C80" s="4" t="s">
        <v>66</v>
      </c>
      <c r="D80" s="4" t="s">
        <v>21</v>
      </c>
      <c r="E80" s="4" t="s">
        <v>36</v>
      </c>
      <c r="F80" s="4">
        <v>550</v>
      </c>
      <c r="G80" s="4">
        <v>48</v>
      </c>
      <c r="H80" s="4">
        <v>7</v>
      </c>
      <c r="I80" s="4">
        <v>8.5</v>
      </c>
      <c r="J80" s="4">
        <f>Table1[[#This Row],[Target Time (Hrs)]]-Table1[[#This Row],[Actual Time (Hrs)]]</f>
        <v>-1.5</v>
      </c>
      <c r="K80" s="5">
        <f>IF(Table1[[#This Row],[Actual Time (Hrs)]]&gt;0, Table1[[#This Row],[Target Time (Hrs)]]/Table1[[#This Row],[Actual Time (Hrs)]], 0)</f>
        <v>0.82352941176470584</v>
      </c>
      <c r="L80" s="9">
        <f>IF(Table1[[#This Row],[Actual Time (Hrs)]]&gt;0, Table1[[#This Row],[Units Completed]]/Table1[[#This Row],[Actual Time (Hrs)]], 0)</f>
        <v>5.6470588235294121</v>
      </c>
      <c r="M80" s="4" t="str">
        <f>_xlfn.IFS(Table1[[#This Row],[Efficiency %]]&gt;=1.1, "Exceeds", Table1[[#This Row],[Efficiency %]]&gt;=0.9, "Meets", Table1[[#This Row],[Efficiency %]]&lt;0.9, "Needs Improvement")</f>
        <v>Needs Improvement</v>
      </c>
      <c r="N80" s="4">
        <f>Table1[[#This Row],[Actual Time (Hrs)]]*Table1[[#This Row],[Hourly Rate (INR)]]</f>
        <v>4675</v>
      </c>
      <c r="O80" s="4">
        <f>(Table1[[#This Row],[Target Time (Hrs)]]*Table1[[#This Row],[Hourly Rate (INR)]])-Table1[[#This Row],[Total Task Cost (INR)]]</f>
        <v>-825</v>
      </c>
    </row>
    <row r="81" spans="1:15" ht="29.25" thickBot="1" x14ac:dyDescent="0.75">
      <c r="A81" s="3">
        <v>45944</v>
      </c>
      <c r="B81" s="4" t="s">
        <v>130</v>
      </c>
      <c r="C81" s="4" t="s">
        <v>68</v>
      </c>
      <c r="D81" s="4" t="s">
        <v>25</v>
      </c>
      <c r="E81" s="4" t="s">
        <v>39</v>
      </c>
      <c r="F81" s="4">
        <v>450</v>
      </c>
      <c r="G81" s="4">
        <v>49</v>
      </c>
      <c r="H81" s="4">
        <v>8</v>
      </c>
      <c r="I81" s="4">
        <v>9.5</v>
      </c>
      <c r="J81" s="4">
        <f>Table1[[#This Row],[Target Time (Hrs)]]-Table1[[#This Row],[Actual Time (Hrs)]]</f>
        <v>-1.5</v>
      </c>
      <c r="K81" s="5">
        <f>IF(Table1[[#This Row],[Actual Time (Hrs)]]&gt;0, Table1[[#This Row],[Target Time (Hrs)]]/Table1[[#This Row],[Actual Time (Hrs)]], 0)</f>
        <v>0.84210526315789469</v>
      </c>
      <c r="L81" s="9">
        <f>IF(Table1[[#This Row],[Actual Time (Hrs)]]&gt;0, Table1[[#This Row],[Units Completed]]/Table1[[#This Row],[Actual Time (Hrs)]], 0)</f>
        <v>5.1578947368421053</v>
      </c>
      <c r="M81" s="4" t="str">
        <f>_xlfn.IFS(Table1[[#This Row],[Efficiency %]]&gt;=1.1, "Exceeds", Table1[[#This Row],[Efficiency %]]&gt;=0.9, "Meets", Table1[[#This Row],[Efficiency %]]&lt;0.9, "Needs Improvement")</f>
        <v>Needs Improvement</v>
      </c>
      <c r="N81" s="4">
        <f>Table1[[#This Row],[Actual Time (Hrs)]]*Table1[[#This Row],[Hourly Rate (INR)]]</f>
        <v>4275</v>
      </c>
      <c r="O81" s="4">
        <f>(Table1[[#This Row],[Target Time (Hrs)]]*Table1[[#This Row],[Hourly Rate (INR)]])-Table1[[#This Row],[Total Task Cost (INR)]]</f>
        <v>-675</v>
      </c>
    </row>
    <row r="82" spans="1:15" ht="29.25" thickBot="1" x14ac:dyDescent="0.75">
      <c r="A82" s="3">
        <v>45943</v>
      </c>
      <c r="B82" s="4" t="s">
        <v>131</v>
      </c>
      <c r="C82" s="4" t="s">
        <v>70</v>
      </c>
      <c r="D82" s="4" t="s">
        <v>29</v>
      </c>
      <c r="E82" s="4" t="s">
        <v>42</v>
      </c>
      <c r="F82" s="4">
        <v>600</v>
      </c>
      <c r="G82" s="4">
        <v>10</v>
      </c>
      <c r="H82" s="4">
        <v>5</v>
      </c>
      <c r="I82" s="4">
        <v>6.5</v>
      </c>
      <c r="J82" s="4">
        <f>Table1[[#This Row],[Target Time (Hrs)]]-Table1[[#This Row],[Actual Time (Hrs)]]</f>
        <v>-1.5</v>
      </c>
      <c r="K82" s="5">
        <f>IF(Table1[[#This Row],[Actual Time (Hrs)]]&gt;0, Table1[[#This Row],[Target Time (Hrs)]]/Table1[[#This Row],[Actual Time (Hrs)]], 0)</f>
        <v>0.76923076923076927</v>
      </c>
      <c r="L82" s="9">
        <f>IF(Table1[[#This Row],[Actual Time (Hrs)]]&gt;0, Table1[[#This Row],[Units Completed]]/Table1[[#This Row],[Actual Time (Hrs)]], 0)</f>
        <v>1.5384615384615385</v>
      </c>
      <c r="M82" s="4" t="str">
        <f>_xlfn.IFS(Table1[[#This Row],[Efficiency %]]&gt;=1.1, "Exceeds", Table1[[#This Row],[Efficiency %]]&gt;=0.9, "Meets", Table1[[#This Row],[Efficiency %]]&lt;0.9, "Needs Improvement")</f>
        <v>Needs Improvement</v>
      </c>
      <c r="N82" s="4">
        <f>Table1[[#This Row],[Actual Time (Hrs)]]*Table1[[#This Row],[Hourly Rate (INR)]]</f>
        <v>3900</v>
      </c>
      <c r="O82" s="4">
        <f>(Table1[[#This Row],[Target Time (Hrs)]]*Table1[[#This Row],[Hourly Rate (INR)]])-Table1[[#This Row],[Total Task Cost (INR)]]</f>
        <v>-900</v>
      </c>
    </row>
    <row r="83" spans="1:15" ht="29.25" thickBot="1" x14ac:dyDescent="0.75">
      <c r="A83" s="3">
        <v>45942</v>
      </c>
      <c r="B83" s="4" t="s">
        <v>132</v>
      </c>
      <c r="C83" s="4" t="s">
        <v>16</v>
      </c>
      <c r="D83" s="4" t="s">
        <v>17</v>
      </c>
      <c r="E83" s="4" t="s">
        <v>45</v>
      </c>
      <c r="F83" s="4">
        <v>350</v>
      </c>
      <c r="G83" s="4">
        <v>11</v>
      </c>
      <c r="H83" s="4">
        <v>6</v>
      </c>
      <c r="I83" s="4">
        <v>7.5</v>
      </c>
      <c r="J83" s="4">
        <f>Table1[[#This Row],[Target Time (Hrs)]]-Table1[[#This Row],[Actual Time (Hrs)]]</f>
        <v>-1.5</v>
      </c>
      <c r="K83" s="5">
        <f>IF(Table1[[#This Row],[Actual Time (Hrs)]]&gt;0, Table1[[#This Row],[Target Time (Hrs)]]/Table1[[#This Row],[Actual Time (Hrs)]], 0)</f>
        <v>0.8</v>
      </c>
      <c r="L83" s="9">
        <f>IF(Table1[[#This Row],[Actual Time (Hrs)]]&gt;0, Table1[[#This Row],[Units Completed]]/Table1[[#This Row],[Actual Time (Hrs)]], 0)</f>
        <v>1.4666666666666666</v>
      </c>
      <c r="M83" s="4" t="str">
        <f>_xlfn.IFS(Table1[[#This Row],[Efficiency %]]&gt;=1.1, "Exceeds", Table1[[#This Row],[Efficiency %]]&gt;=0.9, "Meets", Table1[[#This Row],[Efficiency %]]&lt;0.9, "Needs Improvement")</f>
        <v>Needs Improvement</v>
      </c>
      <c r="N83" s="4">
        <f>Table1[[#This Row],[Actual Time (Hrs)]]*Table1[[#This Row],[Hourly Rate (INR)]]</f>
        <v>2625</v>
      </c>
      <c r="O83" s="4">
        <f>(Table1[[#This Row],[Target Time (Hrs)]]*Table1[[#This Row],[Hourly Rate (INR)]])-Table1[[#This Row],[Total Task Cost (INR)]]</f>
        <v>-525</v>
      </c>
    </row>
    <row r="84" spans="1:15" ht="29.25" thickBot="1" x14ac:dyDescent="0.75">
      <c r="A84" s="3">
        <v>45941</v>
      </c>
      <c r="B84" s="4" t="s">
        <v>133</v>
      </c>
      <c r="C84" s="4" t="s">
        <v>20</v>
      </c>
      <c r="D84" s="4" t="s">
        <v>21</v>
      </c>
      <c r="E84" s="4" t="s">
        <v>48</v>
      </c>
      <c r="F84" s="4">
        <v>550</v>
      </c>
      <c r="G84" s="4">
        <v>12</v>
      </c>
      <c r="H84" s="4">
        <v>7</v>
      </c>
      <c r="I84" s="4">
        <v>8.6</v>
      </c>
      <c r="J84" s="4">
        <f>Table1[[#This Row],[Target Time (Hrs)]]-Table1[[#This Row],[Actual Time (Hrs)]]</f>
        <v>-1.5999999999999996</v>
      </c>
      <c r="K84" s="5">
        <f>IF(Table1[[#This Row],[Actual Time (Hrs)]]&gt;0, Table1[[#This Row],[Target Time (Hrs)]]/Table1[[#This Row],[Actual Time (Hrs)]], 0)</f>
        <v>0.81395348837209303</v>
      </c>
      <c r="L84" s="9">
        <f>IF(Table1[[#This Row],[Actual Time (Hrs)]]&gt;0, Table1[[#This Row],[Units Completed]]/Table1[[#This Row],[Actual Time (Hrs)]], 0)</f>
        <v>1.3953488372093024</v>
      </c>
      <c r="M84" s="4" t="str">
        <f>_xlfn.IFS(Table1[[#This Row],[Efficiency %]]&gt;=1.1, "Exceeds", Table1[[#This Row],[Efficiency %]]&gt;=0.9, "Meets", Table1[[#This Row],[Efficiency %]]&lt;0.9, "Needs Improvement")</f>
        <v>Needs Improvement</v>
      </c>
      <c r="N84" s="4">
        <f>Table1[[#This Row],[Actual Time (Hrs)]]*Table1[[#This Row],[Hourly Rate (INR)]]</f>
        <v>4730</v>
      </c>
      <c r="O84" s="4">
        <f>(Table1[[#This Row],[Target Time (Hrs)]]*Table1[[#This Row],[Hourly Rate (INR)]])-Table1[[#This Row],[Total Task Cost (INR)]]</f>
        <v>-880</v>
      </c>
    </row>
    <row r="85" spans="1:15" ht="29.25" thickBot="1" x14ac:dyDescent="0.75">
      <c r="A85" s="3">
        <v>45940</v>
      </c>
      <c r="B85" s="4" t="s">
        <v>134</v>
      </c>
      <c r="C85" s="4" t="s">
        <v>24</v>
      </c>
      <c r="D85" s="4" t="s">
        <v>25</v>
      </c>
      <c r="E85" s="4" t="s">
        <v>51</v>
      </c>
      <c r="F85" s="4">
        <v>450</v>
      </c>
      <c r="G85" s="4">
        <v>13</v>
      </c>
      <c r="H85" s="4">
        <v>8</v>
      </c>
      <c r="I85" s="4">
        <v>9.6</v>
      </c>
      <c r="J85" s="4">
        <f>Table1[[#This Row],[Target Time (Hrs)]]-Table1[[#This Row],[Actual Time (Hrs)]]</f>
        <v>-1.5999999999999996</v>
      </c>
      <c r="K85" s="5">
        <f>IF(Table1[[#This Row],[Actual Time (Hrs)]]&gt;0, Table1[[#This Row],[Target Time (Hrs)]]/Table1[[#This Row],[Actual Time (Hrs)]], 0)</f>
        <v>0.83333333333333337</v>
      </c>
      <c r="L85" s="9">
        <f>IF(Table1[[#This Row],[Actual Time (Hrs)]]&gt;0, Table1[[#This Row],[Units Completed]]/Table1[[#This Row],[Actual Time (Hrs)]], 0)</f>
        <v>1.3541666666666667</v>
      </c>
      <c r="M85" s="4" t="str">
        <f>_xlfn.IFS(Table1[[#This Row],[Efficiency %]]&gt;=1.1, "Exceeds", Table1[[#This Row],[Efficiency %]]&gt;=0.9, "Meets", Table1[[#This Row],[Efficiency %]]&lt;0.9, "Needs Improvement")</f>
        <v>Needs Improvement</v>
      </c>
      <c r="N85" s="4">
        <f>Table1[[#This Row],[Actual Time (Hrs)]]*Table1[[#This Row],[Hourly Rate (INR)]]</f>
        <v>4320</v>
      </c>
      <c r="O85" s="4">
        <f>(Table1[[#This Row],[Target Time (Hrs)]]*Table1[[#This Row],[Hourly Rate (INR)]])-Table1[[#This Row],[Total Task Cost (INR)]]</f>
        <v>-720</v>
      </c>
    </row>
    <row r="86" spans="1:15" ht="43.5" thickBot="1" x14ac:dyDescent="0.75">
      <c r="A86" s="3">
        <v>45939</v>
      </c>
      <c r="B86" s="4" t="s">
        <v>135</v>
      </c>
      <c r="C86" s="4" t="s">
        <v>28</v>
      </c>
      <c r="D86" s="4" t="s">
        <v>29</v>
      </c>
      <c r="E86" s="4" t="s">
        <v>54</v>
      </c>
      <c r="F86" s="4">
        <v>600</v>
      </c>
      <c r="G86" s="4">
        <v>14</v>
      </c>
      <c r="H86" s="4">
        <v>5</v>
      </c>
      <c r="I86" s="4">
        <v>6.6</v>
      </c>
      <c r="J86" s="4">
        <f>Table1[[#This Row],[Target Time (Hrs)]]-Table1[[#This Row],[Actual Time (Hrs)]]</f>
        <v>-1.5999999999999996</v>
      </c>
      <c r="K86" s="5">
        <f>IF(Table1[[#This Row],[Actual Time (Hrs)]]&gt;0, Table1[[#This Row],[Target Time (Hrs)]]/Table1[[#This Row],[Actual Time (Hrs)]], 0)</f>
        <v>0.75757575757575757</v>
      </c>
      <c r="L86" s="9">
        <f>IF(Table1[[#This Row],[Actual Time (Hrs)]]&gt;0, Table1[[#This Row],[Units Completed]]/Table1[[#This Row],[Actual Time (Hrs)]], 0)</f>
        <v>2.1212121212121211</v>
      </c>
      <c r="M86" s="4" t="str">
        <f>_xlfn.IFS(Table1[[#This Row],[Efficiency %]]&gt;=1.1, "Exceeds", Table1[[#This Row],[Efficiency %]]&gt;=0.9, "Meets", Table1[[#This Row],[Efficiency %]]&lt;0.9, "Needs Improvement")</f>
        <v>Needs Improvement</v>
      </c>
      <c r="N86" s="4">
        <f>Table1[[#This Row],[Actual Time (Hrs)]]*Table1[[#This Row],[Hourly Rate (INR)]]</f>
        <v>3960</v>
      </c>
      <c r="O86" s="4">
        <f>(Table1[[#This Row],[Target Time (Hrs)]]*Table1[[#This Row],[Hourly Rate (INR)]])-Table1[[#This Row],[Total Task Cost (INR)]]</f>
        <v>-960</v>
      </c>
    </row>
    <row r="87" spans="1:15" ht="29.25" thickBot="1" x14ac:dyDescent="0.75">
      <c r="A87" s="3">
        <v>45938</v>
      </c>
      <c r="B87" s="4" t="s">
        <v>136</v>
      </c>
      <c r="C87" s="4" t="s">
        <v>32</v>
      </c>
      <c r="D87" s="4" t="s">
        <v>17</v>
      </c>
      <c r="E87" s="4" t="s">
        <v>18</v>
      </c>
      <c r="F87" s="4">
        <v>350</v>
      </c>
      <c r="G87" s="4">
        <v>15</v>
      </c>
      <c r="H87" s="4">
        <v>6</v>
      </c>
      <c r="I87" s="4">
        <v>7.6</v>
      </c>
      <c r="J87" s="4">
        <f>Table1[[#This Row],[Target Time (Hrs)]]-Table1[[#This Row],[Actual Time (Hrs)]]</f>
        <v>-1.5999999999999996</v>
      </c>
      <c r="K87" s="5">
        <f>IF(Table1[[#This Row],[Actual Time (Hrs)]]&gt;0, Table1[[#This Row],[Target Time (Hrs)]]/Table1[[#This Row],[Actual Time (Hrs)]], 0)</f>
        <v>0.78947368421052633</v>
      </c>
      <c r="L87" s="9">
        <f>IF(Table1[[#This Row],[Actual Time (Hrs)]]&gt;0, Table1[[#This Row],[Units Completed]]/Table1[[#This Row],[Actual Time (Hrs)]], 0)</f>
        <v>1.9736842105263159</v>
      </c>
      <c r="M87" s="4" t="str">
        <f>_xlfn.IFS(Table1[[#This Row],[Efficiency %]]&gt;=1.1, "Exceeds", Table1[[#This Row],[Efficiency %]]&gt;=0.9, "Meets", Table1[[#This Row],[Efficiency %]]&lt;0.9, "Needs Improvement")</f>
        <v>Needs Improvement</v>
      </c>
      <c r="N87" s="4">
        <f>Table1[[#This Row],[Actual Time (Hrs)]]*Table1[[#This Row],[Hourly Rate (INR)]]</f>
        <v>2660</v>
      </c>
      <c r="O87" s="4">
        <f>(Table1[[#This Row],[Target Time (Hrs)]]*Table1[[#This Row],[Hourly Rate (INR)]])-Table1[[#This Row],[Total Task Cost (INR)]]</f>
        <v>-560</v>
      </c>
    </row>
    <row r="88" spans="1:15" ht="29.25" thickBot="1" x14ac:dyDescent="0.75">
      <c r="A88" s="3">
        <v>45937</v>
      </c>
      <c r="B88" s="4" t="s">
        <v>137</v>
      </c>
      <c r="C88" s="4" t="s">
        <v>35</v>
      </c>
      <c r="D88" s="4" t="s">
        <v>21</v>
      </c>
      <c r="E88" s="4" t="s">
        <v>22</v>
      </c>
      <c r="F88" s="4">
        <v>550</v>
      </c>
      <c r="G88" s="4">
        <v>16</v>
      </c>
      <c r="H88" s="4">
        <v>7</v>
      </c>
      <c r="I88" s="4">
        <v>8.6999999999999993</v>
      </c>
      <c r="J88" s="4">
        <f>Table1[[#This Row],[Target Time (Hrs)]]-Table1[[#This Row],[Actual Time (Hrs)]]</f>
        <v>-1.6999999999999993</v>
      </c>
      <c r="K88" s="5">
        <f>IF(Table1[[#This Row],[Actual Time (Hrs)]]&gt;0, Table1[[#This Row],[Target Time (Hrs)]]/Table1[[#This Row],[Actual Time (Hrs)]], 0)</f>
        <v>0.8045977011494253</v>
      </c>
      <c r="L88" s="9">
        <f>IF(Table1[[#This Row],[Actual Time (Hrs)]]&gt;0, Table1[[#This Row],[Units Completed]]/Table1[[#This Row],[Actual Time (Hrs)]], 0)</f>
        <v>1.8390804597701151</v>
      </c>
      <c r="M88" s="4" t="str">
        <f>_xlfn.IFS(Table1[[#This Row],[Efficiency %]]&gt;=1.1, "Exceeds", Table1[[#This Row],[Efficiency %]]&gt;=0.9, "Meets", Table1[[#This Row],[Efficiency %]]&lt;0.9, "Needs Improvement")</f>
        <v>Needs Improvement</v>
      </c>
      <c r="N88" s="4">
        <f>Table1[[#This Row],[Actual Time (Hrs)]]*Table1[[#This Row],[Hourly Rate (INR)]]</f>
        <v>4785</v>
      </c>
      <c r="O88" s="4">
        <f>(Table1[[#This Row],[Target Time (Hrs)]]*Table1[[#This Row],[Hourly Rate (INR)]])-Table1[[#This Row],[Total Task Cost (INR)]]</f>
        <v>-935</v>
      </c>
    </row>
    <row r="89" spans="1:15" ht="29.25" thickBot="1" x14ac:dyDescent="0.75">
      <c r="A89" s="3">
        <v>45936</v>
      </c>
      <c r="B89" s="4" t="s">
        <v>138</v>
      </c>
      <c r="C89" s="4" t="s">
        <v>38</v>
      </c>
      <c r="D89" s="4" t="s">
        <v>25</v>
      </c>
      <c r="E89" s="4" t="s">
        <v>26</v>
      </c>
      <c r="F89" s="4">
        <v>450</v>
      </c>
      <c r="G89" s="4">
        <v>17</v>
      </c>
      <c r="H89" s="4">
        <v>8</v>
      </c>
      <c r="I89" s="4">
        <v>9.8000000000000007</v>
      </c>
      <c r="J89" s="4">
        <f>Table1[[#This Row],[Target Time (Hrs)]]-Table1[[#This Row],[Actual Time (Hrs)]]</f>
        <v>-1.8000000000000007</v>
      </c>
      <c r="K89" s="5">
        <f>IF(Table1[[#This Row],[Actual Time (Hrs)]]&gt;0, Table1[[#This Row],[Target Time (Hrs)]]/Table1[[#This Row],[Actual Time (Hrs)]], 0)</f>
        <v>0.81632653061224481</v>
      </c>
      <c r="L89" s="9">
        <f>IF(Table1[[#This Row],[Actual Time (Hrs)]]&gt;0, Table1[[#This Row],[Units Completed]]/Table1[[#This Row],[Actual Time (Hrs)]], 0)</f>
        <v>1.7346938775510203</v>
      </c>
      <c r="M89" s="4" t="str">
        <f>_xlfn.IFS(Table1[[#This Row],[Efficiency %]]&gt;=1.1, "Exceeds", Table1[[#This Row],[Efficiency %]]&gt;=0.9, "Meets", Table1[[#This Row],[Efficiency %]]&lt;0.9, "Needs Improvement")</f>
        <v>Needs Improvement</v>
      </c>
      <c r="N89" s="4">
        <f>Table1[[#This Row],[Actual Time (Hrs)]]*Table1[[#This Row],[Hourly Rate (INR)]]</f>
        <v>4410</v>
      </c>
      <c r="O89" s="4">
        <f>(Table1[[#This Row],[Target Time (Hrs)]]*Table1[[#This Row],[Hourly Rate (INR)]])-Table1[[#This Row],[Total Task Cost (INR)]]</f>
        <v>-810</v>
      </c>
    </row>
    <row r="90" spans="1:15" ht="26.25" thickBot="1" x14ac:dyDescent="0.75">
      <c r="A90" s="4" t="s">
        <v>139</v>
      </c>
      <c r="B90" s="4"/>
      <c r="C90" s="4"/>
      <c r="D90" s="4"/>
      <c r="E90" s="4"/>
      <c r="F90" s="4"/>
      <c r="G90" s="4"/>
      <c r="H90" s="4"/>
      <c r="I90" s="4"/>
      <c r="J90" s="4">
        <f>Table1[[#This Row],[Target Time (Hrs)]]-Table1[[#This Row],[Actual Time (Hrs)]]</f>
        <v>0</v>
      </c>
      <c r="K90" s="5">
        <f>IF(Table1[[#This Row],[Actual Time (Hrs)]]&gt;0, Table1[[#This Row],[Target Time (Hrs)]]/Table1[[#This Row],[Actual Time (Hrs)]], 0)</f>
        <v>0</v>
      </c>
      <c r="L90" s="9">
        <f>IF(Table1[[#This Row],[Actual Time (Hrs)]]&gt;0, Table1[[#This Row],[Units Completed]]/Table1[[#This Row],[Actual Time (Hrs)]], 0)</f>
        <v>0</v>
      </c>
      <c r="M90" s="4" t="str">
        <f>_xlfn.IFS(Table1[[#This Row],[Efficiency %]]&gt;=1.1, "Exceeds", Table1[[#This Row],[Efficiency %]]&gt;=0.9, "Meets", Table1[[#This Row],[Efficiency %]]&lt;0.9, "Needs Improvement")</f>
        <v>Needs Improvement</v>
      </c>
      <c r="N90" s="4">
        <f>Table1[[#This Row],[Actual Time (Hrs)]]*Table1[[#This Row],[Hourly Rate (INR)]]</f>
        <v>0</v>
      </c>
      <c r="O90" s="4">
        <f>(Table1[[#This Row],[Target Time (Hrs)]]*Table1[[#This Row],[Hourly Rate (INR)]])-Table1[[#This Row],[Total Task Cost (INR)]]</f>
        <v>0</v>
      </c>
    </row>
    <row r="91" spans="1:15" ht="29.25" thickBot="1" x14ac:dyDescent="0.75">
      <c r="A91" s="3">
        <v>45935</v>
      </c>
      <c r="B91" s="4" t="s">
        <v>140</v>
      </c>
      <c r="C91" s="4" t="s">
        <v>41</v>
      </c>
      <c r="D91" s="4" t="s">
        <v>29</v>
      </c>
      <c r="E91" s="4" t="s">
        <v>30</v>
      </c>
      <c r="F91" s="4">
        <v>600</v>
      </c>
      <c r="G91" s="4">
        <v>18</v>
      </c>
      <c r="H91" s="4">
        <v>5</v>
      </c>
      <c r="I91" s="4">
        <v>6.8</v>
      </c>
      <c r="J91" s="4">
        <f>Table1[[#This Row],[Target Time (Hrs)]]-Table1[[#This Row],[Actual Time (Hrs)]]</f>
        <v>-1.7999999999999998</v>
      </c>
      <c r="K91" s="5">
        <f>IF(Table1[[#This Row],[Actual Time (Hrs)]]&gt;0, Table1[[#This Row],[Target Time (Hrs)]]/Table1[[#This Row],[Actual Time (Hrs)]], 0)</f>
        <v>0.73529411764705888</v>
      </c>
      <c r="L91" s="9">
        <f>IF(Table1[[#This Row],[Actual Time (Hrs)]]&gt;0, Table1[[#This Row],[Units Completed]]/Table1[[#This Row],[Actual Time (Hrs)]], 0)</f>
        <v>2.6470588235294117</v>
      </c>
      <c r="M91" s="4" t="str">
        <f>_xlfn.IFS(Table1[[#This Row],[Efficiency %]]&gt;=1.1, "Exceeds", Table1[[#This Row],[Efficiency %]]&gt;=0.9, "Meets", Table1[[#This Row],[Efficiency %]]&lt;0.9, "Needs Improvement")</f>
        <v>Needs Improvement</v>
      </c>
      <c r="N91" s="4">
        <f>Table1[[#This Row],[Actual Time (Hrs)]]*Table1[[#This Row],[Hourly Rate (INR)]]</f>
        <v>4080</v>
      </c>
      <c r="O91" s="4">
        <f>(Table1[[#This Row],[Target Time (Hrs)]]*Table1[[#This Row],[Hourly Rate (INR)]])-Table1[[#This Row],[Total Task Cost (INR)]]</f>
        <v>-1080</v>
      </c>
    </row>
    <row r="92" spans="1:15" ht="29.25" thickBot="1" x14ac:dyDescent="0.75">
      <c r="A92" s="3">
        <v>45934</v>
      </c>
      <c r="B92" s="4" t="s">
        <v>141</v>
      </c>
      <c r="C92" s="4" t="s">
        <v>44</v>
      </c>
      <c r="D92" s="4" t="s">
        <v>17</v>
      </c>
      <c r="E92" s="4" t="s">
        <v>33</v>
      </c>
      <c r="F92" s="4">
        <v>350</v>
      </c>
      <c r="G92" s="4">
        <v>19</v>
      </c>
      <c r="H92" s="4">
        <v>6</v>
      </c>
      <c r="I92" s="4">
        <v>7.8</v>
      </c>
      <c r="J92" s="4">
        <f>Table1[[#This Row],[Target Time (Hrs)]]-Table1[[#This Row],[Actual Time (Hrs)]]</f>
        <v>-1.7999999999999998</v>
      </c>
      <c r="K92" s="5">
        <f>IF(Table1[[#This Row],[Actual Time (Hrs)]]&gt;0, Table1[[#This Row],[Target Time (Hrs)]]/Table1[[#This Row],[Actual Time (Hrs)]], 0)</f>
        <v>0.76923076923076927</v>
      </c>
      <c r="L92" s="9">
        <f>IF(Table1[[#This Row],[Actual Time (Hrs)]]&gt;0, Table1[[#This Row],[Units Completed]]/Table1[[#This Row],[Actual Time (Hrs)]], 0)</f>
        <v>2.4358974358974361</v>
      </c>
      <c r="M92" s="4" t="str">
        <f>_xlfn.IFS(Table1[[#This Row],[Efficiency %]]&gt;=1.1, "Exceeds", Table1[[#This Row],[Efficiency %]]&gt;=0.9, "Meets", Table1[[#This Row],[Efficiency %]]&lt;0.9, "Needs Improvement")</f>
        <v>Needs Improvement</v>
      </c>
      <c r="N92" s="4">
        <f>Table1[[#This Row],[Actual Time (Hrs)]]*Table1[[#This Row],[Hourly Rate (INR)]]</f>
        <v>2730</v>
      </c>
      <c r="O92" s="4">
        <f>(Table1[[#This Row],[Target Time (Hrs)]]*Table1[[#This Row],[Hourly Rate (INR)]])-Table1[[#This Row],[Total Task Cost (INR)]]</f>
        <v>-630</v>
      </c>
    </row>
    <row r="93" spans="1:15" ht="29.25" thickBot="1" x14ac:dyDescent="0.75">
      <c r="A93" s="3">
        <v>45933</v>
      </c>
      <c r="B93" s="4" t="s">
        <v>142</v>
      </c>
      <c r="C93" s="4" t="s">
        <v>47</v>
      </c>
      <c r="D93" s="4" t="s">
        <v>21</v>
      </c>
      <c r="E93" s="4" t="s">
        <v>36</v>
      </c>
      <c r="F93" s="4">
        <v>550</v>
      </c>
      <c r="G93" s="4">
        <v>20</v>
      </c>
      <c r="H93" s="4">
        <v>7</v>
      </c>
      <c r="I93" s="4">
        <v>8.8000000000000007</v>
      </c>
      <c r="J93" s="4">
        <f>Table1[[#This Row],[Target Time (Hrs)]]-Table1[[#This Row],[Actual Time (Hrs)]]</f>
        <v>-1.8000000000000007</v>
      </c>
      <c r="K93" s="5">
        <f>IF(Table1[[#This Row],[Actual Time (Hrs)]]&gt;0, Table1[[#This Row],[Target Time (Hrs)]]/Table1[[#This Row],[Actual Time (Hrs)]], 0)</f>
        <v>0.79545454545454541</v>
      </c>
      <c r="L93" s="9">
        <f>IF(Table1[[#This Row],[Actual Time (Hrs)]]&gt;0, Table1[[#This Row],[Units Completed]]/Table1[[#This Row],[Actual Time (Hrs)]], 0)</f>
        <v>2.2727272727272725</v>
      </c>
      <c r="M93" s="4" t="str">
        <f>_xlfn.IFS(Table1[[#This Row],[Efficiency %]]&gt;=1.1, "Exceeds", Table1[[#This Row],[Efficiency %]]&gt;=0.9, "Meets", Table1[[#This Row],[Efficiency %]]&lt;0.9, "Needs Improvement")</f>
        <v>Needs Improvement</v>
      </c>
      <c r="N93" s="4">
        <f>Table1[[#This Row],[Actual Time (Hrs)]]*Table1[[#This Row],[Hourly Rate (INR)]]</f>
        <v>4840</v>
      </c>
      <c r="O93" s="4">
        <f>(Table1[[#This Row],[Target Time (Hrs)]]*Table1[[#This Row],[Hourly Rate (INR)]])-Table1[[#This Row],[Total Task Cost (INR)]]</f>
        <v>-990</v>
      </c>
    </row>
    <row r="94" spans="1:15" ht="29.25" thickBot="1" x14ac:dyDescent="0.75">
      <c r="A94" s="3">
        <v>45932</v>
      </c>
      <c r="B94" s="4" t="s">
        <v>143</v>
      </c>
      <c r="C94" s="4" t="s">
        <v>50</v>
      </c>
      <c r="D94" s="4" t="s">
        <v>25</v>
      </c>
      <c r="E94" s="4" t="s">
        <v>39</v>
      </c>
      <c r="F94" s="4">
        <v>450</v>
      </c>
      <c r="G94" s="4">
        <v>21</v>
      </c>
      <c r="H94" s="4">
        <v>8</v>
      </c>
      <c r="I94" s="4">
        <v>9.9</v>
      </c>
      <c r="J94" s="4">
        <f>Table1[[#This Row],[Target Time (Hrs)]]-Table1[[#This Row],[Actual Time (Hrs)]]</f>
        <v>-1.9000000000000004</v>
      </c>
      <c r="K94" s="5">
        <f>IF(Table1[[#This Row],[Actual Time (Hrs)]]&gt;0, Table1[[#This Row],[Target Time (Hrs)]]/Table1[[#This Row],[Actual Time (Hrs)]], 0)</f>
        <v>0.80808080808080807</v>
      </c>
      <c r="L94" s="9">
        <f>IF(Table1[[#This Row],[Actual Time (Hrs)]]&gt;0, Table1[[#This Row],[Units Completed]]/Table1[[#This Row],[Actual Time (Hrs)]], 0)</f>
        <v>2.1212121212121211</v>
      </c>
      <c r="M94" s="4" t="str">
        <f>_xlfn.IFS(Table1[[#This Row],[Efficiency %]]&gt;=1.1, "Exceeds", Table1[[#This Row],[Efficiency %]]&gt;=0.9, "Meets", Table1[[#This Row],[Efficiency %]]&lt;0.9, "Needs Improvement")</f>
        <v>Needs Improvement</v>
      </c>
      <c r="N94" s="4">
        <f>Table1[[#This Row],[Actual Time (Hrs)]]*Table1[[#This Row],[Hourly Rate (INR)]]</f>
        <v>4455</v>
      </c>
      <c r="O94" s="4">
        <f>(Table1[[#This Row],[Target Time (Hrs)]]*Table1[[#This Row],[Hourly Rate (INR)]])-Table1[[#This Row],[Total Task Cost (INR)]]</f>
        <v>-855</v>
      </c>
    </row>
    <row r="95" spans="1:15" ht="29.25" thickBot="1" x14ac:dyDescent="0.75">
      <c r="A95" s="3">
        <v>45931</v>
      </c>
      <c r="B95" s="4" t="s">
        <v>144</v>
      </c>
      <c r="C95" s="4" t="s">
        <v>53</v>
      </c>
      <c r="D95" s="4" t="s">
        <v>29</v>
      </c>
      <c r="E95" s="4" t="s">
        <v>42</v>
      </c>
      <c r="F95" s="4">
        <v>600</v>
      </c>
      <c r="G95" s="4">
        <v>22</v>
      </c>
      <c r="H95" s="4">
        <v>5</v>
      </c>
      <c r="I95" s="4">
        <v>6.9</v>
      </c>
      <c r="J95" s="4">
        <f>Table1[[#This Row],[Target Time (Hrs)]]-Table1[[#This Row],[Actual Time (Hrs)]]</f>
        <v>-1.9000000000000004</v>
      </c>
      <c r="K95" s="5">
        <f>IF(Table1[[#This Row],[Actual Time (Hrs)]]&gt;0, Table1[[#This Row],[Target Time (Hrs)]]/Table1[[#This Row],[Actual Time (Hrs)]], 0)</f>
        <v>0.72463768115942029</v>
      </c>
      <c r="L95" s="9">
        <f>IF(Table1[[#This Row],[Actual Time (Hrs)]]&gt;0, Table1[[#This Row],[Units Completed]]/Table1[[#This Row],[Actual Time (Hrs)]], 0)</f>
        <v>3.1884057971014492</v>
      </c>
      <c r="M95" s="4" t="str">
        <f>_xlfn.IFS(Table1[[#This Row],[Efficiency %]]&gt;=1.1, "Exceeds", Table1[[#This Row],[Efficiency %]]&gt;=0.9, "Meets", Table1[[#This Row],[Efficiency %]]&lt;0.9, "Needs Improvement")</f>
        <v>Needs Improvement</v>
      </c>
      <c r="N95" s="4">
        <f>Table1[[#This Row],[Actual Time (Hrs)]]*Table1[[#This Row],[Hourly Rate (INR)]]</f>
        <v>4140</v>
      </c>
      <c r="O95" s="4">
        <f>(Table1[[#This Row],[Target Time (Hrs)]]*Table1[[#This Row],[Hourly Rate (INR)]])-Table1[[#This Row],[Total Task Cost (INR)]]</f>
        <v>-1140</v>
      </c>
    </row>
    <row r="96" spans="1:15" ht="26.25" thickBot="1" x14ac:dyDescent="0.75">
      <c r="A96" s="4" t="s">
        <v>145</v>
      </c>
      <c r="B96" s="4"/>
      <c r="C96" s="4"/>
      <c r="D96" s="4"/>
      <c r="E96" s="4"/>
      <c r="F96" s="4"/>
      <c r="G96" s="4"/>
      <c r="H96" s="4"/>
      <c r="I96" s="4"/>
      <c r="J96" s="4">
        <f>Table1[[#This Row],[Target Time (Hrs)]]-Table1[[#This Row],[Actual Time (Hrs)]]</f>
        <v>0</v>
      </c>
      <c r="K96" s="5">
        <f>IF(Table1[[#This Row],[Actual Time (Hrs)]]&gt;0, Table1[[#This Row],[Target Time (Hrs)]]/Table1[[#This Row],[Actual Time (Hrs)]], 0)</f>
        <v>0</v>
      </c>
      <c r="L96" s="9">
        <f>IF(Table1[[#This Row],[Actual Time (Hrs)]]&gt;0, Table1[[#This Row],[Units Completed]]/Table1[[#This Row],[Actual Time (Hrs)]], 0)</f>
        <v>0</v>
      </c>
      <c r="M96" s="4" t="str">
        <f>_xlfn.IFS(Table1[[#This Row],[Efficiency %]]&gt;=1.1, "Exceeds", Table1[[#This Row],[Efficiency %]]&gt;=0.9, "Meets", Table1[[#This Row],[Efficiency %]]&lt;0.9, "Needs Improvement")</f>
        <v>Needs Improvement</v>
      </c>
      <c r="N96" s="4">
        <f>Table1[[#This Row],[Actual Time (Hrs)]]*Table1[[#This Row],[Hourly Rate (INR)]]</f>
        <v>0</v>
      </c>
      <c r="O96" s="4">
        <f>(Table1[[#This Row],[Target Time (Hrs)]]*Table1[[#This Row],[Hourly Rate (INR)]])-Table1[[#This Row],[Total Task Cost (INR)]]</f>
        <v>0</v>
      </c>
    </row>
    <row r="97" spans="1:15" ht="29.25" thickBot="1" x14ac:dyDescent="0.75">
      <c r="A97" s="3">
        <v>45961</v>
      </c>
      <c r="B97" s="4" t="s">
        <v>146</v>
      </c>
      <c r="C97" s="4" t="s">
        <v>56</v>
      </c>
      <c r="D97" s="4" t="s">
        <v>17</v>
      </c>
      <c r="E97" s="4" t="s">
        <v>45</v>
      </c>
      <c r="F97" s="4">
        <v>350</v>
      </c>
      <c r="G97" s="4">
        <v>23</v>
      </c>
      <c r="H97" s="4">
        <v>6</v>
      </c>
      <c r="I97" s="4">
        <v>7.9</v>
      </c>
      <c r="J97" s="4">
        <f>Table1[[#This Row],[Target Time (Hrs)]]-Table1[[#This Row],[Actual Time (Hrs)]]</f>
        <v>-1.9000000000000004</v>
      </c>
      <c r="K97" s="5">
        <f>IF(Table1[[#This Row],[Actual Time (Hrs)]]&gt;0, Table1[[#This Row],[Target Time (Hrs)]]/Table1[[#This Row],[Actual Time (Hrs)]], 0)</f>
        <v>0.75949367088607589</v>
      </c>
      <c r="L97" s="9">
        <f>IF(Table1[[#This Row],[Actual Time (Hrs)]]&gt;0, Table1[[#This Row],[Units Completed]]/Table1[[#This Row],[Actual Time (Hrs)]], 0)</f>
        <v>2.9113924050632911</v>
      </c>
      <c r="M97" s="4" t="str">
        <f>_xlfn.IFS(Table1[[#This Row],[Efficiency %]]&gt;=1.1, "Exceeds", Table1[[#This Row],[Efficiency %]]&gt;=0.9, "Meets", Table1[[#This Row],[Efficiency %]]&lt;0.9, "Needs Improvement")</f>
        <v>Needs Improvement</v>
      </c>
      <c r="N97" s="4">
        <f>Table1[[#This Row],[Actual Time (Hrs)]]*Table1[[#This Row],[Hourly Rate (INR)]]</f>
        <v>2765</v>
      </c>
      <c r="O97" s="4">
        <f>(Table1[[#This Row],[Target Time (Hrs)]]*Table1[[#This Row],[Hourly Rate (INR)]])-Table1[[#This Row],[Total Task Cost (INR)]]</f>
        <v>-665</v>
      </c>
    </row>
    <row r="98" spans="1:15" ht="29.25" thickBot="1" x14ac:dyDescent="0.75">
      <c r="A98" s="3">
        <v>45960</v>
      </c>
      <c r="B98" s="4" t="s">
        <v>147</v>
      </c>
      <c r="C98" s="4" t="s">
        <v>58</v>
      </c>
      <c r="D98" s="4" t="s">
        <v>21</v>
      </c>
      <c r="E98" s="4" t="s">
        <v>48</v>
      </c>
      <c r="F98" s="4">
        <v>550</v>
      </c>
      <c r="G98" s="4">
        <v>24</v>
      </c>
      <c r="H98" s="4">
        <v>7</v>
      </c>
      <c r="I98" s="4">
        <v>8.9</v>
      </c>
      <c r="J98" s="4">
        <f>Table1[[#This Row],[Target Time (Hrs)]]-Table1[[#This Row],[Actual Time (Hrs)]]</f>
        <v>-1.9000000000000004</v>
      </c>
      <c r="K98" s="5">
        <f>IF(Table1[[#This Row],[Actual Time (Hrs)]]&gt;0, Table1[[#This Row],[Target Time (Hrs)]]/Table1[[#This Row],[Actual Time (Hrs)]], 0)</f>
        <v>0.78651685393258419</v>
      </c>
      <c r="L98" s="9">
        <f>IF(Table1[[#This Row],[Actual Time (Hrs)]]&gt;0, Table1[[#This Row],[Units Completed]]/Table1[[#This Row],[Actual Time (Hrs)]], 0)</f>
        <v>2.696629213483146</v>
      </c>
      <c r="M98" s="4" t="str">
        <f>_xlfn.IFS(Table1[[#This Row],[Efficiency %]]&gt;=1.1, "Exceeds", Table1[[#This Row],[Efficiency %]]&gt;=0.9, "Meets", Table1[[#This Row],[Efficiency %]]&lt;0.9, "Needs Improvement")</f>
        <v>Needs Improvement</v>
      </c>
      <c r="N98" s="4">
        <f>Table1[[#This Row],[Actual Time (Hrs)]]*Table1[[#This Row],[Hourly Rate (INR)]]</f>
        <v>4895</v>
      </c>
      <c r="O98" s="4">
        <f>(Table1[[#This Row],[Target Time (Hrs)]]*Table1[[#This Row],[Hourly Rate (INR)]])-Table1[[#This Row],[Total Task Cost (INR)]]</f>
        <v>-1045</v>
      </c>
    </row>
    <row r="99" spans="1:15" ht="29.25" thickBot="1" x14ac:dyDescent="0.75">
      <c r="A99" s="3">
        <v>45959</v>
      </c>
      <c r="B99" s="4" t="s">
        <v>148</v>
      </c>
      <c r="C99" s="4" t="s">
        <v>60</v>
      </c>
      <c r="D99" s="4" t="s">
        <v>25</v>
      </c>
      <c r="E99" s="4" t="s">
        <v>51</v>
      </c>
      <c r="F99" s="4">
        <v>450</v>
      </c>
      <c r="G99" s="4">
        <v>25</v>
      </c>
      <c r="H99" s="4">
        <v>8</v>
      </c>
      <c r="I99" s="4">
        <v>10</v>
      </c>
      <c r="J99" s="4">
        <f>Table1[[#This Row],[Target Time (Hrs)]]-Table1[[#This Row],[Actual Time (Hrs)]]</f>
        <v>-2</v>
      </c>
      <c r="K99" s="5">
        <f>IF(Table1[[#This Row],[Actual Time (Hrs)]]&gt;0, Table1[[#This Row],[Target Time (Hrs)]]/Table1[[#This Row],[Actual Time (Hrs)]], 0)</f>
        <v>0.8</v>
      </c>
      <c r="L99" s="9">
        <f>IF(Table1[[#This Row],[Actual Time (Hrs)]]&gt;0, Table1[[#This Row],[Units Completed]]/Table1[[#This Row],[Actual Time (Hrs)]], 0)</f>
        <v>2.5</v>
      </c>
      <c r="M99" s="4" t="str">
        <f>_xlfn.IFS(Table1[[#This Row],[Efficiency %]]&gt;=1.1, "Exceeds", Table1[[#This Row],[Efficiency %]]&gt;=0.9, "Meets", Table1[[#This Row],[Efficiency %]]&lt;0.9, "Needs Improvement")</f>
        <v>Needs Improvement</v>
      </c>
      <c r="N99" s="4">
        <f>Table1[[#This Row],[Actual Time (Hrs)]]*Table1[[#This Row],[Hourly Rate (INR)]]</f>
        <v>4500</v>
      </c>
      <c r="O99" s="4">
        <f>(Table1[[#This Row],[Target Time (Hrs)]]*Table1[[#This Row],[Hourly Rate (INR)]])-Table1[[#This Row],[Total Task Cost (INR)]]</f>
        <v>-900</v>
      </c>
    </row>
    <row r="100" spans="1:15" ht="43.5" thickBot="1" x14ac:dyDescent="0.75">
      <c r="A100" s="3">
        <v>45958</v>
      </c>
      <c r="B100" s="4" t="s">
        <v>149</v>
      </c>
      <c r="C100" s="4" t="s">
        <v>62</v>
      </c>
      <c r="D100" s="4" t="s">
        <v>29</v>
      </c>
      <c r="E100" s="4" t="s">
        <v>54</v>
      </c>
      <c r="F100" s="4">
        <v>600</v>
      </c>
      <c r="G100" s="4">
        <v>26</v>
      </c>
      <c r="H100" s="4">
        <v>5</v>
      </c>
      <c r="I100" s="4">
        <v>7</v>
      </c>
      <c r="J100" s="4">
        <f>Table1[[#This Row],[Target Time (Hrs)]]-Table1[[#This Row],[Actual Time (Hrs)]]</f>
        <v>-2</v>
      </c>
      <c r="K100" s="5">
        <f>IF(Table1[[#This Row],[Actual Time (Hrs)]]&gt;0, Table1[[#This Row],[Target Time (Hrs)]]/Table1[[#This Row],[Actual Time (Hrs)]], 0)</f>
        <v>0.7142857142857143</v>
      </c>
      <c r="L100" s="9">
        <f>IF(Table1[[#This Row],[Actual Time (Hrs)]]&gt;0, Table1[[#This Row],[Units Completed]]/Table1[[#This Row],[Actual Time (Hrs)]], 0)</f>
        <v>3.7142857142857144</v>
      </c>
      <c r="M100" s="4" t="str">
        <f>_xlfn.IFS(Table1[[#This Row],[Efficiency %]]&gt;=1.1, "Exceeds", Table1[[#This Row],[Efficiency %]]&gt;=0.9, "Meets", Table1[[#This Row],[Efficiency %]]&lt;0.9, "Needs Improvement")</f>
        <v>Needs Improvement</v>
      </c>
      <c r="N100" s="4">
        <f>Table1[[#This Row],[Actual Time (Hrs)]]*Table1[[#This Row],[Hourly Rate (INR)]]</f>
        <v>4200</v>
      </c>
      <c r="O100" s="4">
        <f>(Table1[[#This Row],[Target Time (Hrs)]]*Table1[[#This Row],[Hourly Rate (INR)]])-Table1[[#This Row],[Total Task Cost (INR)]]</f>
        <v>-1200</v>
      </c>
    </row>
    <row r="101" spans="1:15" ht="29.25" thickBot="1" x14ac:dyDescent="0.75">
      <c r="A101" s="3">
        <v>45957</v>
      </c>
      <c r="B101" s="4" t="s">
        <v>150</v>
      </c>
      <c r="C101" s="4" t="s">
        <v>64</v>
      </c>
      <c r="D101" s="4" t="s">
        <v>17</v>
      </c>
      <c r="E101" s="4" t="s">
        <v>18</v>
      </c>
      <c r="F101" s="4">
        <v>350</v>
      </c>
      <c r="G101" s="4">
        <v>27</v>
      </c>
      <c r="H101" s="4">
        <v>6</v>
      </c>
      <c r="I101" s="4">
        <v>8</v>
      </c>
      <c r="J101" s="4">
        <f>Table1[[#This Row],[Target Time (Hrs)]]-Table1[[#This Row],[Actual Time (Hrs)]]</f>
        <v>-2</v>
      </c>
      <c r="K101" s="5">
        <f>IF(Table1[[#This Row],[Actual Time (Hrs)]]&gt;0, Table1[[#This Row],[Target Time (Hrs)]]/Table1[[#This Row],[Actual Time (Hrs)]], 0)</f>
        <v>0.75</v>
      </c>
      <c r="L101" s="9">
        <f>IF(Table1[[#This Row],[Actual Time (Hrs)]]&gt;0, Table1[[#This Row],[Units Completed]]/Table1[[#This Row],[Actual Time (Hrs)]], 0)</f>
        <v>3.375</v>
      </c>
      <c r="M101" s="4" t="str">
        <f>_xlfn.IFS(Table1[[#This Row],[Efficiency %]]&gt;=1.1, "Exceeds", Table1[[#This Row],[Efficiency %]]&gt;=0.9, "Meets", Table1[[#This Row],[Efficiency %]]&lt;0.9, "Needs Improvement")</f>
        <v>Needs Improvement</v>
      </c>
      <c r="N101" s="4">
        <f>Table1[[#This Row],[Actual Time (Hrs)]]*Table1[[#This Row],[Hourly Rate (INR)]]</f>
        <v>2800</v>
      </c>
      <c r="O101" s="4">
        <f>(Table1[[#This Row],[Target Time (Hrs)]]*Table1[[#This Row],[Hourly Rate (INR)]])-Table1[[#This Row],[Total Task Cost (INR)]]</f>
        <v>-700</v>
      </c>
    </row>
    <row r="102" spans="1:15" ht="26.25" thickBot="1" x14ac:dyDescent="0.75">
      <c r="A102" s="4" t="s">
        <v>151</v>
      </c>
      <c r="B102" s="4"/>
      <c r="C102" s="4"/>
      <c r="D102" s="4"/>
      <c r="E102" s="4"/>
      <c r="F102" s="4"/>
      <c r="G102" s="4"/>
      <c r="H102" s="4"/>
      <c r="I102" s="4"/>
      <c r="J102" s="4">
        <f>Table1[[#This Row],[Target Time (Hrs)]]-Table1[[#This Row],[Actual Time (Hrs)]]</f>
        <v>0</v>
      </c>
      <c r="K102" s="5">
        <f>IF(Table1[[#This Row],[Actual Time (Hrs)]]&gt;0, Table1[[#This Row],[Target Time (Hrs)]]/Table1[[#This Row],[Actual Time (Hrs)]], 0)</f>
        <v>0</v>
      </c>
      <c r="L102" s="9">
        <f>IF(Table1[[#This Row],[Actual Time (Hrs)]]&gt;0, Table1[[#This Row],[Units Completed]]/Table1[[#This Row],[Actual Time (Hrs)]], 0)</f>
        <v>0</v>
      </c>
      <c r="M102" s="4" t="str">
        <f>_xlfn.IFS(Table1[[#This Row],[Efficiency %]]&gt;=1.1, "Exceeds", Table1[[#This Row],[Efficiency %]]&gt;=0.9, "Meets", Table1[[#This Row],[Efficiency %]]&lt;0.9, "Needs Improvement")</f>
        <v>Needs Improvement</v>
      </c>
      <c r="N102" s="4">
        <f>Table1[[#This Row],[Actual Time (Hrs)]]*Table1[[#This Row],[Hourly Rate (INR)]]</f>
        <v>0</v>
      </c>
      <c r="O102" s="4">
        <f>(Table1[[#This Row],[Target Time (Hrs)]]*Table1[[#This Row],[Hourly Rate (INR)]])-Table1[[#This Row],[Total Task Cost (INR)]]</f>
        <v>0</v>
      </c>
    </row>
    <row r="103" spans="1:15" ht="29.25" thickBot="1" x14ac:dyDescent="0.75">
      <c r="A103" s="3">
        <v>45956</v>
      </c>
      <c r="B103" s="4" t="s">
        <v>152</v>
      </c>
      <c r="C103" s="4" t="s">
        <v>66</v>
      </c>
      <c r="D103" s="4" t="s">
        <v>21</v>
      </c>
      <c r="E103" s="4" t="s">
        <v>22</v>
      </c>
      <c r="F103" s="4">
        <v>550</v>
      </c>
      <c r="G103" s="4">
        <v>28</v>
      </c>
      <c r="H103" s="4">
        <v>7</v>
      </c>
      <c r="I103" s="4">
        <v>9</v>
      </c>
      <c r="J103" s="4">
        <f>Table1[[#This Row],[Target Time (Hrs)]]-Table1[[#This Row],[Actual Time (Hrs)]]</f>
        <v>-2</v>
      </c>
      <c r="K103" s="5">
        <f>IF(Table1[[#This Row],[Actual Time (Hrs)]]&gt;0, Table1[[#This Row],[Target Time (Hrs)]]/Table1[[#This Row],[Actual Time (Hrs)]], 0)</f>
        <v>0.77777777777777779</v>
      </c>
      <c r="L103" s="9">
        <f>IF(Table1[[#This Row],[Actual Time (Hrs)]]&gt;0, Table1[[#This Row],[Units Completed]]/Table1[[#This Row],[Actual Time (Hrs)]], 0)</f>
        <v>3.1111111111111112</v>
      </c>
      <c r="M103" s="4" t="str">
        <f>_xlfn.IFS(Table1[[#This Row],[Efficiency %]]&gt;=1.1, "Exceeds", Table1[[#This Row],[Efficiency %]]&gt;=0.9, "Meets", Table1[[#This Row],[Efficiency %]]&lt;0.9, "Needs Improvement")</f>
        <v>Needs Improvement</v>
      </c>
      <c r="N103" s="4">
        <f>Table1[[#This Row],[Actual Time (Hrs)]]*Table1[[#This Row],[Hourly Rate (INR)]]</f>
        <v>4950</v>
      </c>
      <c r="O103" s="4">
        <f>(Table1[[#This Row],[Target Time (Hrs)]]*Table1[[#This Row],[Hourly Rate (INR)]])-Table1[[#This Row],[Total Task Cost (INR)]]</f>
        <v>-1100</v>
      </c>
    </row>
    <row r="104" spans="1:15" ht="29.25" thickBot="1" x14ac:dyDescent="0.75">
      <c r="A104" s="3">
        <v>45955</v>
      </c>
      <c r="B104" s="4" t="s">
        <v>153</v>
      </c>
      <c r="C104" s="4" t="s">
        <v>68</v>
      </c>
      <c r="D104" s="4" t="s">
        <v>25</v>
      </c>
      <c r="E104" s="4" t="s">
        <v>26</v>
      </c>
      <c r="F104" s="4">
        <v>450</v>
      </c>
      <c r="G104" s="4">
        <v>29</v>
      </c>
      <c r="H104" s="4">
        <v>8</v>
      </c>
      <c r="I104" s="4">
        <v>10</v>
      </c>
      <c r="J104" s="4">
        <f>Table1[[#This Row],[Target Time (Hrs)]]-Table1[[#This Row],[Actual Time (Hrs)]]</f>
        <v>-2</v>
      </c>
      <c r="K104" s="5">
        <f>IF(Table1[[#This Row],[Actual Time (Hrs)]]&gt;0, Table1[[#This Row],[Target Time (Hrs)]]/Table1[[#This Row],[Actual Time (Hrs)]], 0)</f>
        <v>0.8</v>
      </c>
      <c r="L104" s="9">
        <f>IF(Table1[[#This Row],[Actual Time (Hrs)]]&gt;0, Table1[[#This Row],[Units Completed]]/Table1[[#This Row],[Actual Time (Hrs)]], 0)</f>
        <v>2.9</v>
      </c>
      <c r="M104" s="4" t="str">
        <f>_xlfn.IFS(Table1[[#This Row],[Efficiency %]]&gt;=1.1, "Exceeds", Table1[[#This Row],[Efficiency %]]&gt;=0.9, "Meets", Table1[[#This Row],[Efficiency %]]&lt;0.9, "Needs Improvement")</f>
        <v>Needs Improvement</v>
      </c>
      <c r="N104" s="4">
        <f>Table1[[#This Row],[Actual Time (Hrs)]]*Table1[[#This Row],[Hourly Rate (INR)]]</f>
        <v>4500</v>
      </c>
      <c r="O104" s="4">
        <f>(Table1[[#This Row],[Target Time (Hrs)]]*Table1[[#This Row],[Hourly Rate (INR)]])-Table1[[#This Row],[Total Task Cost (INR)]]</f>
        <v>-900</v>
      </c>
    </row>
    <row r="105" spans="1:15" ht="29.25" thickBot="1" x14ac:dyDescent="0.75">
      <c r="A105" s="6">
        <v>45954</v>
      </c>
      <c r="B105" s="7" t="s">
        <v>154</v>
      </c>
      <c r="C105" s="7" t="s">
        <v>70</v>
      </c>
      <c r="D105" s="7" t="s">
        <v>29</v>
      </c>
      <c r="E105" s="7" t="s">
        <v>30</v>
      </c>
      <c r="F105" s="7">
        <v>600</v>
      </c>
      <c r="G105" s="7">
        <v>30</v>
      </c>
      <c r="H105" s="7">
        <v>5</v>
      </c>
      <c r="I105" s="7">
        <v>7</v>
      </c>
      <c r="J105" s="4">
        <f>Table1[[#This Row],[Target Time (Hrs)]]-Table1[[#This Row],[Actual Time (Hrs)]]</f>
        <v>-2</v>
      </c>
      <c r="K105" s="5">
        <f>IF(Table1[[#This Row],[Actual Time (Hrs)]]&gt;0, Table1[[#This Row],[Target Time (Hrs)]]/Table1[[#This Row],[Actual Time (Hrs)]], 0)</f>
        <v>0.7142857142857143</v>
      </c>
      <c r="L105" s="9">
        <f>IF(Table1[[#This Row],[Actual Time (Hrs)]]&gt;0, Table1[[#This Row],[Units Completed]]/Table1[[#This Row],[Actual Time (Hrs)]], 0)</f>
        <v>4.2857142857142856</v>
      </c>
      <c r="M105" s="4" t="str">
        <f>_xlfn.IFS(Table1[[#This Row],[Efficiency %]]&gt;=1.1, "Exceeds", Table1[[#This Row],[Efficiency %]]&gt;=0.9, "Meets", Table1[[#This Row],[Efficiency %]]&lt;0.9, "Needs Improvement")</f>
        <v>Needs Improvement</v>
      </c>
      <c r="N105" s="4">
        <f>Table1[[#This Row],[Actual Time (Hrs)]]*Table1[[#This Row],[Hourly Rate (INR)]]</f>
        <v>4200</v>
      </c>
      <c r="O105" s="4">
        <f>(Table1[[#This Row],[Target Time (Hrs)]]*Table1[[#This Row],[Hourly Rate (INR)]])-Table1[[#This Row],[Total Task Cost (INR)]]</f>
        <v>-1200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Abhishek Kumar</cp:lastModifiedBy>
  <dcterms:created xsi:type="dcterms:W3CDTF">2025-11-08T16:15:11Z</dcterms:created>
  <dcterms:modified xsi:type="dcterms:W3CDTF">2025-11-08T17:54:37Z</dcterms:modified>
</cp:coreProperties>
</file>